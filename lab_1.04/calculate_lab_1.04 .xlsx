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ti\Desktop\"/>
    </mc:Choice>
  </mc:AlternateContent>
  <xr:revisionPtr revIDLastSave="0" documentId="13_ncr:1_{1F4F8223-5898-480D-95B3-FABD9B9A0C5A}" xr6:coauthVersionLast="47" xr6:coauthVersionMax="47" xr10:uidLastSave="{00000000-0000-0000-0000-000000000000}"/>
  <bookViews>
    <workbookView xWindow="-108" yWindow="492" windowWidth="23256" windowHeight="12576" firstSheet="2" activeTab="3" xr2:uid="{00000000-000D-0000-FFFF-FFFF00000000}"/>
  </bookViews>
  <sheets>
    <sheet name="Погрешности косвенные (Шаблон)" sheetId="9" state="hidden" r:id="rId1"/>
    <sheet name="МНК (Шаблон)" sheetId="4" state="hidden" r:id="rId2"/>
    <sheet name="Таблица 1" sheetId="1" r:id="rId3"/>
    <sheet name="Таблица 2" sheetId="2" r:id="rId4"/>
    <sheet name="Таблица 3" sheetId="19" r:id="rId5"/>
    <sheet name="График 1" sheetId="23" state="hidden" r:id="rId6"/>
    <sheet name="График 2" sheetId="24" state="hidden" r:id="rId7"/>
    <sheet name="Печать 1" sheetId="25" state="hidden" r:id="rId8"/>
    <sheet name="Печать 2" sheetId="26" state="hidden" r:id="rId9"/>
    <sheet name="Параметры установки" sheetId="22" r:id="rId10"/>
    <sheet name="Погрешности прямые (t)" sheetId="13" r:id="rId11"/>
    <sheet name="Погрешности прямые (a)" sheetId="5" r:id="rId12"/>
    <sheet name="Погрешности косвенные (a)" sheetId="12" r:id="rId13"/>
    <sheet name="Погрешности прямые (e)" sheetId="6" r:id="rId14"/>
    <sheet name="Погрешности косвенные (e)" sheetId="10" r:id="rId15"/>
    <sheet name="Погрешности прямые (M)" sheetId="7" r:id="rId16"/>
    <sheet name="Погрешности косвенные (M)" sheetId="11" r:id="rId17"/>
    <sheet name="МНК рис.1" sheetId="8" r:id="rId18"/>
    <sheet name="МНК рис.2" sheetId="14" r:id="rId19"/>
    <sheet name="МНК рис.3" sheetId="15" r:id="rId20"/>
    <sheet name="МНК рис.4" sheetId="16" r:id="rId21"/>
    <sheet name="МНК рис.5" sheetId="17" r:id="rId22"/>
    <sheet name="МНК рис.6" sheetId="18" r:id="rId23"/>
    <sheet name="МНК I" sheetId="21" r:id="rId2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1" l="1"/>
  <c r="A11" i="1"/>
  <c r="A7" i="1"/>
  <c r="A3" i="1"/>
  <c r="E10" i="1"/>
  <c r="B6" i="1"/>
  <c r="C6" i="1"/>
  <c r="D6" i="1"/>
  <c r="E6" i="1"/>
  <c r="F6" i="1"/>
  <c r="G6" i="1"/>
  <c r="B10" i="1"/>
  <c r="C10" i="1"/>
  <c r="D10" i="1"/>
  <c r="F10" i="1"/>
  <c r="G10" i="1"/>
  <c r="B14" i="1"/>
  <c r="C14" i="1"/>
  <c r="D14" i="1"/>
  <c r="E14" i="1"/>
  <c r="F14" i="1"/>
  <c r="G14" i="1"/>
  <c r="B18" i="1"/>
  <c r="C18" i="1"/>
  <c r="D18" i="1"/>
  <c r="E18" i="1"/>
  <c r="F18" i="1"/>
  <c r="G18" i="1"/>
  <c r="G19" i="25" l="1"/>
  <c r="F19" i="25"/>
  <c r="E19" i="25"/>
  <c r="D19" i="25"/>
  <c r="C19" i="25"/>
  <c r="B19" i="25"/>
  <c r="A16" i="25"/>
  <c r="G15" i="25"/>
  <c r="F15" i="25"/>
  <c r="E15" i="25"/>
  <c r="D15" i="25"/>
  <c r="C15" i="25"/>
  <c r="B15" i="25"/>
  <c r="A12" i="25"/>
  <c r="G11" i="25"/>
  <c r="F11" i="25"/>
  <c r="E11" i="25"/>
  <c r="D11" i="25"/>
  <c r="C11" i="25"/>
  <c r="B11" i="25"/>
  <c r="A8" i="25"/>
  <c r="G7" i="25"/>
  <c r="F7" i="25"/>
  <c r="E7" i="25"/>
  <c r="D7" i="25"/>
  <c r="C7" i="25"/>
  <c r="B7" i="25"/>
  <c r="A4" i="25"/>
  <c r="C2" i="19"/>
  <c r="C3" i="19" s="1"/>
  <c r="A3" i="21" s="1"/>
  <c r="D2" i="19"/>
  <c r="D3" i="19" s="1"/>
  <c r="A4" i="21" s="1"/>
  <c r="E2" i="19"/>
  <c r="E3" i="19" s="1"/>
  <c r="A5" i="21" s="1"/>
  <c r="F2" i="19"/>
  <c r="F3" i="19" s="1"/>
  <c r="A6" i="21" s="1"/>
  <c r="G2" i="19"/>
  <c r="G3" i="19" s="1"/>
  <c r="A7" i="21" s="1"/>
  <c r="B2" i="19"/>
  <c r="B3" i="19" s="1"/>
  <c r="A2" i="21" s="1"/>
  <c r="A4" i="13"/>
  <c r="A3" i="13"/>
  <c r="A2" i="13"/>
  <c r="B7" i="9"/>
  <c r="B8" i="9"/>
  <c r="B9" i="9" s="1"/>
  <c r="H2" i="13" l="1"/>
  <c r="L2" i="21"/>
  <c r="E2" i="21" s="1"/>
  <c r="B2" i="12" l="1"/>
  <c r="B4" i="10"/>
  <c r="B4" i="12"/>
  <c r="B2" i="10"/>
  <c r="C2" i="21"/>
  <c r="E4" i="21"/>
  <c r="C3" i="21"/>
  <c r="E7" i="21"/>
  <c r="E6" i="21"/>
  <c r="E5" i="21"/>
  <c r="E3" i="21"/>
  <c r="C7" i="21"/>
  <c r="C6" i="21"/>
  <c r="C5" i="21"/>
  <c r="C4" i="21"/>
  <c r="B4" i="13"/>
  <c r="B3" i="11"/>
  <c r="B3" i="10"/>
  <c r="B3" i="13"/>
  <c r="B2" i="13"/>
  <c r="B3" i="12"/>
  <c r="I2" i="13" l="1"/>
  <c r="K2" i="13" s="1"/>
  <c r="M2" i="13" s="1"/>
  <c r="B5" i="10" s="1"/>
  <c r="P2" i="21"/>
  <c r="N2" i="13" l="1"/>
  <c r="B6" i="12" s="1"/>
  <c r="B5" i="11"/>
  <c r="B5" i="12"/>
  <c r="B7" i="12" s="1"/>
  <c r="B8" i="12" s="1"/>
  <c r="M2" i="4"/>
  <c r="D3" i="4" s="1"/>
  <c r="L2" i="4"/>
  <c r="C2" i="4" s="1"/>
  <c r="B6" i="10" l="1"/>
  <c r="B6" i="11"/>
  <c r="C4" i="4"/>
  <c r="E8" i="4"/>
  <c r="E2" i="4"/>
  <c r="E7" i="4"/>
  <c r="C8" i="4"/>
  <c r="E6" i="4"/>
  <c r="C7" i="4"/>
  <c r="E5" i="4"/>
  <c r="C5" i="4"/>
  <c r="C6" i="4"/>
  <c r="E4" i="4"/>
  <c r="F6" i="4"/>
  <c r="F5" i="4"/>
  <c r="F8" i="4"/>
  <c r="F7" i="4"/>
  <c r="D8" i="4"/>
  <c r="F4" i="4"/>
  <c r="D5" i="4"/>
  <c r="D4" i="4"/>
  <c r="D7" i="4"/>
  <c r="D6" i="4"/>
  <c r="F2" i="4"/>
  <c r="F3" i="4"/>
  <c r="E3" i="4"/>
  <c r="C3" i="4"/>
  <c r="D2" i="4"/>
  <c r="A21" i="2"/>
  <c r="A15" i="2"/>
  <c r="A9" i="2"/>
  <c r="A3" i="2"/>
  <c r="B26" i="2"/>
  <c r="C26" i="2" s="1"/>
  <c r="D26" i="2" s="1"/>
  <c r="A5" i="18" s="1"/>
  <c r="B25" i="2"/>
  <c r="C25" i="2" s="1"/>
  <c r="D25" i="2" s="1"/>
  <c r="A5" i="17" s="1"/>
  <c r="B24" i="2"/>
  <c r="C24" i="2" s="1"/>
  <c r="D24" i="2" s="1"/>
  <c r="A5" i="16" s="1"/>
  <c r="B23" i="2"/>
  <c r="C23" i="2" s="1"/>
  <c r="D23" i="2" s="1"/>
  <c r="A5" i="15" s="1"/>
  <c r="B22" i="2"/>
  <c r="C22" i="2" s="1"/>
  <c r="D22" i="2" s="1"/>
  <c r="A5" i="14" s="1"/>
  <c r="B21" i="2"/>
  <c r="C21" i="2" s="1"/>
  <c r="D21" i="2" s="1"/>
  <c r="A5" i="8" s="1"/>
  <c r="B20" i="2"/>
  <c r="C20" i="2" s="1"/>
  <c r="D20" i="2" s="1"/>
  <c r="A4" i="18" s="1"/>
  <c r="B19" i="2"/>
  <c r="C19" i="2" s="1"/>
  <c r="D19" i="2" s="1"/>
  <c r="A4" i="17" s="1"/>
  <c r="B18" i="2"/>
  <c r="C18" i="2" s="1"/>
  <c r="D18" i="2" s="1"/>
  <c r="A4" i="16" s="1"/>
  <c r="B17" i="2"/>
  <c r="C17" i="2" s="1"/>
  <c r="D17" i="2" s="1"/>
  <c r="A4" i="15" s="1"/>
  <c r="B16" i="2"/>
  <c r="C16" i="2" s="1"/>
  <c r="D16" i="2" s="1"/>
  <c r="A4" i="14" s="1"/>
  <c r="B15" i="2"/>
  <c r="C15" i="2" s="1"/>
  <c r="D15" i="2" s="1"/>
  <c r="A4" i="8" s="1"/>
  <c r="B10" i="2"/>
  <c r="C10" i="2" s="1"/>
  <c r="B11" i="2"/>
  <c r="C11" i="2" s="1"/>
  <c r="D11" i="2" s="1"/>
  <c r="A3" i="15" s="1"/>
  <c r="B12" i="2"/>
  <c r="C12" i="2" s="1"/>
  <c r="D12" i="2" s="1"/>
  <c r="A3" i="16" s="1"/>
  <c r="B13" i="2"/>
  <c r="C13" i="2" s="1"/>
  <c r="D13" i="2" s="1"/>
  <c r="A3" i="17" s="1"/>
  <c r="B14" i="2"/>
  <c r="C14" i="2" s="1"/>
  <c r="D14" i="2" s="1"/>
  <c r="A3" i="18" s="1"/>
  <c r="B9" i="2"/>
  <c r="C9" i="2" s="1"/>
  <c r="D9" i="2" s="1"/>
  <c r="A3" i="8" s="1"/>
  <c r="B4" i="2"/>
  <c r="C4" i="2" s="1"/>
  <c r="B5" i="2"/>
  <c r="C5" i="2" s="1"/>
  <c r="B6" i="2"/>
  <c r="C6" i="2" s="1"/>
  <c r="B7" i="2"/>
  <c r="C7" i="2" s="1"/>
  <c r="A6" i="5" s="1"/>
  <c r="B8" i="2"/>
  <c r="C8" i="2" s="1"/>
  <c r="B3" i="2"/>
  <c r="C3" i="2" s="1"/>
  <c r="B4" i="11" l="1"/>
  <c r="E3" i="2"/>
  <c r="D10" i="2"/>
  <c r="A3" i="14" s="1"/>
  <c r="E10" i="2"/>
  <c r="B3" i="14" s="1"/>
  <c r="D3" i="2"/>
  <c r="B2" i="11"/>
  <c r="B7" i="11" s="1"/>
  <c r="B8" i="11" s="1"/>
  <c r="D5" i="2"/>
  <c r="A4" i="5"/>
  <c r="D6" i="2"/>
  <c r="A5" i="5"/>
  <c r="A2" i="5"/>
  <c r="D8" i="2"/>
  <c r="A7" i="5"/>
  <c r="E26" i="2"/>
  <c r="B5" i="18" s="1"/>
  <c r="D4" i="2"/>
  <c r="A3" i="5"/>
  <c r="G5" i="4"/>
  <c r="P2" i="4"/>
  <c r="G4" i="4"/>
  <c r="G6" i="4"/>
  <c r="G7" i="4"/>
  <c r="G2" i="4"/>
  <c r="G8" i="4"/>
  <c r="G3" i="4"/>
  <c r="E6" i="2"/>
  <c r="D7" i="2"/>
  <c r="E7" i="2"/>
  <c r="E5" i="2"/>
  <c r="E18" i="2"/>
  <c r="B4" i="16" s="1"/>
  <c r="E22" i="2"/>
  <c r="B5" i="14" s="1"/>
  <c r="E23" i="2"/>
  <c r="B5" i="15" s="1"/>
  <c r="E4" i="2"/>
  <c r="E24" i="2"/>
  <c r="B5" i="16" s="1"/>
  <c r="E25" i="2"/>
  <c r="B5" i="17" s="1"/>
  <c r="E8" i="2"/>
  <c r="E21" i="2"/>
  <c r="B5" i="8" s="1"/>
  <c r="E17" i="2"/>
  <c r="B4" i="15" s="1"/>
  <c r="E20" i="2"/>
  <c r="B4" i="18" s="1"/>
  <c r="E19" i="2"/>
  <c r="B4" i="17" s="1"/>
  <c r="E15" i="2"/>
  <c r="B4" i="8" s="1"/>
  <c r="E16" i="2"/>
  <c r="B4" i="14" s="1"/>
  <c r="E13" i="2"/>
  <c r="B3" i="17" s="1"/>
  <c r="E12" i="2"/>
  <c r="B3" i="16" s="1"/>
  <c r="E11" i="2"/>
  <c r="B3" i="15" s="1"/>
  <c r="E9" i="2"/>
  <c r="B3" i="8" s="1"/>
  <c r="E14" i="2"/>
  <c r="B3" i="18" s="1"/>
  <c r="B2" i="18" l="1"/>
  <c r="A7" i="7"/>
  <c r="A2" i="14"/>
  <c r="A3" i="6"/>
  <c r="A2" i="16"/>
  <c r="A5" i="6"/>
  <c r="B2" i="17"/>
  <c r="A6" i="7"/>
  <c r="B2" i="8"/>
  <c r="A2" i="7"/>
  <c r="A2" i="17"/>
  <c r="A6" i="6"/>
  <c r="N2" i="4"/>
  <c r="O2" i="4" s="1"/>
  <c r="H3" i="4" s="1"/>
  <c r="I3" i="4" s="1"/>
  <c r="A2" i="15"/>
  <c r="A4" i="6"/>
  <c r="B2" i="15"/>
  <c r="A4" i="7"/>
  <c r="B2" i="14"/>
  <c r="A3" i="7"/>
  <c r="H2" i="5"/>
  <c r="B4" i="5" s="1"/>
  <c r="B2" i="16"/>
  <c r="A5" i="7"/>
  <c r="A2" i="18"/>
  <c r="A7" i="6"/>
  <c r="A2" i="8"/>
  <c r="A2" i="6"/>
  <c r="H5" i="4" l="1"/>
  <c r="I5" i="4" s="1"/>
  <c r="B3" i="5"/>
  <c r="B2" i="5"/>
  <c r="L2" i="14"/>
  <c r="E2" i="14" s="1"/>
  <c r="M2" i="16"/>
  <c r="F2" i="16" s="1"/>
  <c r="L2" i="17"/>
  <c r="E2" i="17" s="1"/>
  <c r="H2" i="7"/>
  <c r="B9" i="11" s="1"/>
  <c r="L2" i="18"/>
  <c r="E2" i="18" s="1"/>
  <c r="H7" i="4"/>
  <c r="I7" i="4" s="1"/>
  <c r="M2" i="8"/>
  <c r="D2" i="8" s="1"/>
  <c r="M2" i="17"/>
  <c r="M2" i="14"/>
  <c r="D2" i="14" s="1"/>
  <c r="H6" i="4"/>
  <c r="I6" i="4" s="1"/>
  <c r="B5" i="5"/>
  <c r="L2" i="8"/>
  <c r="C2" i="8" s="1"/>
  <c r="H4" i="4"/>
  <c r="I4" i="4" s="1"/>
  <c r="H2" i="4"/>
  <c r="I2" i="4" s="1"/>
  <c r="M2" i="15"/>
  <c r="F2" i="15" s="1"/>
  <c r="L2" i="16"/>
  <c r="E2" i="16" s="1"/>
  <c r="H8" i="4"/>
  <c r="I8" i="4" s="1"/>
  <c r="B9" i="12"/>
  <c r="B6" i="5"/>
  <c r="H2" i="6"/>
  <c r="B7" i="5"/>
  <c r="L2" i="15"/>
  <c r="M2" i="18"/>
  <c r="F2" i="18" s="1"/>
  <c r="R2" i="4" l="1"/>
  <c r="R4" i="4" s="1"/>
  <c r="R6" i="4" s="1"/>
  <c r="Q2" i="4"/>
  <c r="Q4" i="4" s="1"/>
  <c r="Q6" i="4" s="1"/>
  <c r="B4" i="7"/>
  <c r="B7" i="7"/>
  <c r="B6" i="7"/>
  <c r="B3" i="7"/>
  <c r="E2" i="8"/>
  <c r="F2" i="8"/>
  <c r="C2" i="17"/>
  <c r="I2" i="5"/>
  <c r="K2" i="5" s="1"/>
  <c r="M2" i="5" s="1"/>
  <c r="N2" i="5" s="1"/>
  <c r="D2" i="15"/>
  <c r="C2" i="14"/>
  <c r="C2" i="16"/>
  <c r="B2" i="7"/>
  <c r="C4" i="15"/>
  <c r="C5" i="15"/>
  <c r="E3" i="15"/>
  <c r="C3" i="15"/>
  <c r="E4" i="15"/>
  <c r="E5" i="15"/>
  <c r="F5" i="17"/>
  <c r="D3" i="17"/>
  <c r="F3" i="17"/>
  <c r="D5" i="17"/>
  <c r="D4" i="17"/>
  <c r="F4" i="17"/>
  <c r="G2" i="18"/>
  <c r="D2" i="16"/>
  <c r="D4" i="16"/>
  <c r="F4" i="16"/>
  <c r="F5" i="16"/>
  <c r="D5" i="16"/>
  <c r="D3" i="16"/>
  <c r="F3" i="16"/>
  <c r="B2" i="6"/>
  <c r="C3" i="16"/>
  <c r="E3" i="16"/>
  <c r="E5" i="16"/>
  <c r="C5" i="16"/>
  <c r="C4" i="16"/>
  <c r="E4" i="16"/>
  <c r="B7" i="6"/>
  <c r="G2" i="16"/>
  <c r="F5" i="8"/>
  <c r="D4" i="8"/>
  <c r="F3" i="8"/>
  <c r="D5" i="8"/>
  <c r="F4" i="8"/>
  <c r="D3" i="8"/>
  <c r="D2" i="18"/>
  <c r="D3" i="18"/>
  <c r="D4" i="18"/>
  <c r="F4" i="18"/>
  <c r="F5" i="18"/>
  <c r="D5" i="18"/>
  <c r="F3" i="18"/>
  <c r="F2" i="14"/>
  <c r="G2" i="14" s="1"/>
  <c r="F4" i="14"/>
  <c r="D4" i="14"/>
  <c r="F5" i="14"/>
  <c r="D5" i="14"/>
  <c r="D3" i="14"/>
  <c r="F3" i="14"/>
  <c r="B3" i="6"/>
  <c r="F2" i="17"/>
  <c r="G2" i="17" s="1"/>
  <c r="E3" i="18"/>
  <c r="E5" i="18"/>
  <c r="C3" i="18"/>
  <c r="E4" i="18"/>
  <c r="C4" i="18"/>
  <c r="C5" i="18"/>
  <c r="C5" i="17"/>
  <c r="E5" i="17"/>
  <c r="C4" i="17"/>
  <c r="E4" i="17"/>
  <c r="C3" i="17"/>
  <c r="E3" i="17"/>
  <c r="C3" i="14"/>
  <c r="C4" i="14"/>
  <c r="E4" i="14"/>
  <c r="E3" i="14"/>
  <c r="C5" i="14"/>
  <c r="E5" i="14"/>
  <c r="B4" i="6"/>
  <c r="C2" i="15"/>
  <c r="D3" i="15"/>
  <c r="D4" i="15"/>
  <c r="F4" i="15"/>
  <c r="D5" i="15"/>
  <c r="F5" i="15"/>
  <c r="F3" i="15"/>
  <c r="E2" i="15"/>
  <c r="G2" i="15" s="1"/>
  <c r="B5" i="6"/>
  <c r="E5" i="8"/>
  <c r="C5" i="8"/>
  <c r="E4" i="8"/>
  <c r="C4" i="8"/>
  <c r="E3" i="8"/>
  <c r="C3" i="8"/>
  <c r="D2" i="17"/>
  <c r="C2" i="18"/>
  <c r="B6" i="6"/>
  <c r="B5" i="7"/>
  <c r="J3" i="4"/>
  <c r="J4" i="4"/>
  <c r="J5" i="4"/>
  <c r="J6" i="4"/>
  <c r="J7" i="4"/>
  <c r="J8" i="4"/>
  <c r="J2" i="4"/>
  <c r="G3" i="14" l="1"/>
  <c r="G2" i="8"/>
  <c r="G5" i="14"/>
  <c r="G5" i="17"/>
  <c r="G5" i="8"/>
  <c r="G4" i="8"/>
  <c r="G3" i="17"/>
  <c r="G4" i="17"/>
  <c r="G5" i="16"/>
  <c r="P2" i="8"/>
  <c r="P2" i="17"/>
  <c r="G5" i="18"/>
  <c r="G3" i="8"/>
  <c r="G4" i="14"/>
  <c r="I2" i="7"/>
  <c r="K2" i="7" s="1"/>
  <c r="M2" i="7" s="1"/>
  <c r="N2" i="7" s="1"/>
  <c r="P2" i="16"/>
  <c r="P2" i="14"/>
  <c r="G4" i="15"/>
  <c r="G3" i="15"/>
  <c r="G3" i="16"/>
  <c r="G4" i="16"/>
  <c r="P2" i="15"/>
  <c r="P2" i="18"/>
  <c r="G4" i="18"/>
  <c r="G3" i="18"/>
  <c r="I2" i="6"/>
  <c r="K2" i="6" s="1"/>
  <c r="M2" i="6" s="1"/>
  <c r="G5" i="15"/>
  <c r="N2" i="14" l="1"/>
  <c r="O2" i="14" s="1"/>
  <c r="H5" i="14" s="1"/>
  <c r="I5" i="14" s="1"/>
  <c r="N2" i="17"/>
  <c r="O2" i="17" s="1"/>
  <c r="H2" i="17" s="1"/>
  <c r="I2" i="17" s="1"/>
  <c r="N2" i="8"/>
  <c r="N2" i="15"/>
  <c r="N2" i="18"/>
  <c r="N2" i="16"/>
  <c r="B7" i="10"/>
  <c r="B8" i="10" s="1"/>
  <c r="B9" i="10" s="1"/>
  <c r="N2" i="6"/>
  <c r="O2" i="8" l="1"/>
  <c r="H4" i="8" s="1"/>
  <c r="I4" i="8" s="1"/>
  <c r="B4" i="19"/>
  <c r="B2" i="21" s="1"/>
  <c r="C4" i="19"/>
  <c r="B3" i="21" s="1"/>
  <c r="F4" i="19"/>
  <c r="B6" i="21" s="1"/>
  <c r="H4" i="17"/>
  <c r="I4" i="17" s="1"/>
  <c r="H3" i="17"/>
  <c r="I3" i="17" s="1"/>
  <c r="H5" i="17"/>
  <c r="I5" i="17" s="1"/>
  <c r="H2" i="14"/>
  <c r="I2" i="14" s="1"/>
  <c r="H3" i="14"/>
  <c r="I3" i="14" s="1"/>
  <c r="H4" i="14"/>
  <c r="I4" i="14" s="1"/>
  <c r="O2" i="18"/>
  <c r="G4" i="19"/>
  <c r="B7" i="21" s="1"/>
  <c r="O2" i="16"/>
  <c r="E4" i="19"/>
  <c r="B5" i="21" s="1"/>
  <c r="O2" i="15"/>
  <c r="D4" i="19"/>
  <c r="B4" i="21" s="1"/>
  <c r="H3" i="8" l="1"/>
  <c r="I3" i="8" s="1"/>
  <c r="H2" i="8"/>
  <c r="I2" i="8" s="1"/>
  <c r="H5" i="8"/>
  <c r="I5" i="8" s="1"/>
  <c r="R2" i="17"/>
  <c r="R4" i="17" s="1"/>
  <c r="R6" i="17" s="1"/>
  <c r="Q2" i="17"/>
  <c r="Q4" i="17" s="1"/>
  <c r="Q6" i="17" s="1"/>
  <c r="R2" i="14"/>
  <c r="R4" i="14" s="1"/>
  <c r="R6" i="14" s="1"/>
  <c r="Q2" i="14"/>
  <c r="Q4" i="14" s="1"/>
  <c r="Q6" i="14" s="1"/>
  <c r="M2" i="21"/>
  <c r="D2" i="21" s="1"/>
  <c r="H3" i="18"/>
  <c r="I3" i="18" s="1"/>
  <c r="H2" i="18"/>
  <c r="I2" i="18" s="1"/>
  <c r="H4" i="18"/>
  <c r="I4" i="18" s="1"/>
  <c r="H5" i="18"/>
  <c r="I5" i="18" s="1"/>
  <c r="H2" i="16"/>
  <c r="I2" i="16" s="1"/>
  <c r="H3" i="16"/>
  <c r="I3" i="16" s="1"/>
  <c r="H4" i="16"/>
  <c r="I4" i="16" s="1"/>
  <c r="H5" i="16"/>
  <c r="I5" i="16" s="1"/>
  <c r="H5" i="15"/>
  <c r="I5" i="15" s="1"/>
  <c r="H4" i="15"/>
  <c r="I4" i="15" s="1"/>
  <c r="H3" i="15"/>
  <c r="I3" i="15" s="1"/>
  <c r="H2" i="15"/>
  <c r="I2" i="15" s="1"/>
  <c r="R2" i="8" l="1"/>
  <c r="R4" i="8" s="1"/>
  <c r="R6" i="8" s="1"/>
  <c r="Q2" i="8"/>
  <c r="Q4" i="8" s="1"/>
  <c r="Q6" i="8" s="1"/>
  <c r="J2" i="17"/>
  <c r="J4" i="17"/>
  <c r="J3" i="17"/>
  <c r="J5" i="17"/>
  <c r="J2" i="14"/>
  <c r="J5" i="14"/>
  <c r="J3" i="14"/>
  <c r="J4" i="14"/>
  <c r="F5" i="21"/>
  <c r="G5" i="21" s="1"/>
  <c r="F3" i="21"/>
  <c r="G3" i="21" s="1"/>
  <c r="F6" i="21"/>
  <c r="G6" i="21" s="1"/>
  <c r="F4" i="21"/>
  <c r="G4" i="21" s="1"/>
  <c r="D5" i="21"/>
  <c r="D3" i="21"/>
  <c r="D4" i="21"/>
  <c r="F7" i="21"/>
  <c r="G7" i="21" s="1"/>
  <c r="D7" i="21"/>
  <c r="D6" i="21"/>
  <c r="F2" i="21"/>
  <c r="G2" i="21" s="1"/>
  <c r="Q2" i="18"/>
  <c r="Q4" i="18" s="1"/>
  <c r="Q6" i="18" s="1"/>
  <c r="R2" i="18"/>
  <c r="R2" i="16"/>
  <c r="Q2" i="16"/>
  <c r="Q4" i="16" s="1"/>
  <c r="Q6" i="16" s="1"/>
  <c r="Q2" i="15"/>
  <c r="Q4" i="15" s="1"/>
  <c r="Q6" i="15" s="1"/>
  <c r="R2" i="15"/>
  <c r="J4" i="8" l="1"/>
  <c r="J2" i="8"/>
  <c r="J3" i="8"/>
  <c r="J5" i="8"/>
  <c r="N2" i="21"/>
  <c r="O2" i="21" s="1"/>
  <c r="H6" i="21" s="1"/>
  <c r="I6" i="21" s="1"/>
  <c r="R4" i="18"/>
  <c r="R6" i="18" s="1"/>
  <c r="J2" i="18"/>
  <c r="J4" i="18"/>
  <c r="J3" i="18"/>
  <c r="J5" i="18"/>
  <c r="R4" i="16"/>
  <c r="R6" i="16" s="1"/>
  <c r="J3" i="16"/>
  <c r="J5" i="16"/>
  <c r="J2" i="16"/>
  <c r="J4" i="16"/>
  <c r="R4" i="15"/>
  <c r="R6" i="15" s="1"/>
  <c r="J5" i="15"/>
  <c r="J4" i="15"/>
  <c r="J2" i="15"/>
  <c r="J3" i="15"/>
  <c r="H4" i="21" l="1"/>
  <c r="I4" i="21" s="1"/>
  <c r="H3" i="21"/>
  <c r="I3" i="21" s="1"/>
  <c r="H5" i="21"/>
  <c r="I5" i="21" s="1"/>
  <c r="H7" i="21"/>
  <c r="I7" i="21" s="1"/>
  <c r="H2" i="21"/>
  <c r="I2" i="21" s="1"/>
  <c r="R2" i="21" l="1"/>
  <c r="R4" i="21" s="1"/>
  <c r="R6" i="21" s="1"/>
  <c r="Q2" i="21"/>
  <c r="Q4" i="21" s="1"/>
  <c r="Q6" i="21" s="1"/>
  <c r="J6" i="21" l="1"/>
  <c r="J3" i="21"/>
  <c r="J2" i="21"/>
  <c r="J4" i="21"/>
  <c r="J7" i="21"/>
  <c r="J5" i="21"/>
</calcChain>
</file>

<file path=xl/sharedStrings.xml><?xml version="1.0" encoding="utf-8"?>
<sst xmlns="http://schemas.openxmlformats.org/spreadsheetml/2006/main" count="299" uniqueCount="72">
  <si>
    <t>Масса груза, г</t>
  </si>
  <si>
    <t>Положение утяжелителей</t>
  </si>
  <si>
    <t>1.риска</t>
  </si>
  <si>
    <t>2.риска</t>
  </si>
  <si>
    <t>3.риска</t>
  </si>
  <si>
    <t>4.риска</t>
  </si>
  <si>
    <t>5.риска</t>
  </si>
  <si>
    <t>6.риска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</si>
  <si>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, с</t>
    </r>
  </si>
  <si>
    <r>
      <rPr>
        <sz val="11"/>
        <color theme="1"/>
        <rFont val="Calibri"/>
        <family val="2"/>
        <charset val="204"/>
        <scheme val="minor"/>
      </rPr>
      <t>a, 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</si>
  <si>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ε, с</t>
    </r>
    <r>
      <rPr>
        <vertAlign val="superscript"/>
        <sz val="11"/>
        <color theme="1"/>
        <rFont val="Calibri"/>
        <family val="2"/>
        <charset val="204"/>
      </rPr>
      <t>-2</t>
    </r>
  </si>
  <si>
    <t>M, Н*м</t>
  </si>
  <si>
    <t>h</t>
  </si>
  <si>
    <t>d</t>
  </si>
  <si>
    <r>
      <t>Квадрат разности (x-</t>
    </r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</si>
  <si>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Значения x</t>
  </si>
  <si>
    <r>
      <t>Среднее 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</si>
  <si>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СКО      S</t>
    </r>
    <r>
      <rPr>
        <vertAlign val="subscript"/>
        <sz val="11"/>
        <color theme="1"/>
        <rFont val="Calibri"/>
        <family val="2"/>
        <charset val="204"/>
        <scheme val="minor"/>
      </rPr>
      <t>xср</t>
    </r>
  </si>
  <si>
    <r>
      <t>Коэфф. Стьюдента  t</t>
    </r>
    <r>
      <rPr>
        <vertAlign val="subscript"/>
        <sz val="11"/>
        <color theme="1"/>
        <rFont val="Calibri"/>
        <family val="2"/>
        <charset val="204"/>
      </rPr>
      <t>α,n</t>
    </r>
  </si>
  <si>
    <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xср</t>
    </r>
  </si>
  <si>
    <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иx</t>
    </r>
  </si>
  <si>
    <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</t>
    </r>
  </si>
  <si>
    <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</rPr>
      <t>x</t>
    </r>
  </si>
  <si>
    <t>x</t>
  </si>
  <si>
    <t>y</t>
  </si>
  <si>
    <r>
      <t>Среднее 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</si>
  <si>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b</t>
  </si>
  <si>
    <t>a</t>
  </si>
  <si>
    <r>
      <t>Квадрат разности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</si>
  <si>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Квадрат разности 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</si>
  <si>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Разность    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</si>
  <si>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Разность    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</si>
  <si>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Произведение       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</si>
  <si>
    <t>D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</si>
  <si>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</si>
  <si>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</si>
  <si>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</si>
  <si>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y</t>
    </r>
  </si>
  <si>
    <t>Формулы частных производных по переменным:</t>
  </si>
  <si>
    <t>Абсолютная погрешность функции</t>
  </si>
  <si>
    <t>Среднее значение функции</t>
  </si>
  <si>
    <t>Среднее значение переменной</t>
  </si>
  <si>
    <t>Название переменной</t>
  </si>
  <si>
    <t>Абсолютные погрешности переменных</t>
  </si>
  <si>
    <t>Слагаемые</t>
  </si>
  <si>
    <t>ε</t>
  </si>
  <si>
    <t>Относительные погрешности переменных</t>
  </si>
  <si>
    <t>Относительные погрешности функции</t>
  </si>
  <si>
    <t>M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</si>
  <si>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</si>
  <si>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</si>
  <si>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Номера рисок</t>
  </si>
  <si>
    <t>R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</si>
  <si>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</si>
  <si>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I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</si>
  <si>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</si>
  <si>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</si>
  <si>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4m</t>
    </r>
    <r>
      <rPr>
        <vertAlign val="subscript"/>
        <sz val="11"/>
        <color theme="1"/>
        <rFont val="Calibri"/>
        <family val="2"/>
        <charset val="204"/>
        <scheme val="minor"/>
      </rPr>
      <t>ут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</si>
  <si>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</si>
  <si>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</si>
  <si>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b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</si>
  <si>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a</t>
    </r>
  </si>
  <si>
    <t>Таблица 1. Протокол измерений времени падения груза при разной массе груза и разном положении утяжелителей на крестовине</t>
  </si>
  <si>
    <t>Таблица 2. Значения ускорения каретки, углового ускорения крестовины и момента силы натяжения нити для средних значений времени</t>
  </si>
  <si>
    <t>R, м</t>
  </si>
  <si>
    <t>Масса груза, кг</t>
  </si>
  <si>
    <t>Таблица 3. Значения момента инерции для утяжелителей в разных положениях</t>
  </si>
  <si>
    <r>
      <t>t</t>
    </r>
    <r>
      <rPr>
        <vertAlign val="subscript"/>
        <sz val="10"/>
        <color theme="1"/>
        <rFont val="Calibri"/>
        <family val="2"/>
        <scheme val="minor"/>
      </rPr>
      <t>ср</t>
    </r>
    <r>
      <rPr>
        <sz val="10"/>
        <color theme="1"/>
        <rFont val="Calibri"/>
        <family val="2"/>
        <scheme val="minor"/>
      </rPr>
      <t>, с</t>
    </r>
  </si>
  <si>
    <r>
      <rPr>
        <sz val="10"/>
        <color theme="1"/>
        <rFont val="Calibri"/>
        <family val="2"/>
        <scheme val="minor"/>
      </rPr>
      <t>a, м/с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</si>
  <si>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с</t>
    </r>
    <r>
      <rPr>
        <vertAlign val="superscript"/>
        <sz val="10"/>
        <color theme="1"/>
        <rFont val="Calibri"/>
        <family val="2"/>
      </rPr>
      <t>-2</t>
    </r>
  </si>
  <si>
    <r>
      <t>R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м</t>
    </r>
  </si>
  <si>
    <r>
      <t>I, кг*м</t>
    </r>
    <r>
      <rPr>
        <vertAlign val="superscript"/>
        <sz val="10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</si>
</sst>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2" fontId="0" fillId="0" borderId="7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2" fontId="0" fillId="0" borderId="14" xfId="0" applyNumberFormat="1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3" xfId="0" applyNumberFormat="1" applyBorder="1"/>
    <xf numFmtId="164" fontId="0" fillId="0" borderId="3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/>
    <xf numFmtId="0" fontId="9" fillId="0" borderId="0" xfId="0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/>
    <xf numFmtId="165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6807946254424625"/>
          <c:y val="0.9397678162926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603587319695772E-2"/>
          <c:y val="4.9934392802701136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1.7427104599846914</c:v>
                </c:pt>
                <c:pt idx="1">
                  <c:v>6.7333258803609839</c:v>
                </c:pt>
                <c:pt idx="2">
                  <c:v>10.113164707816225</c:v>
                </c:pt>
                <c:pt idx="3">
                  <c:v>11.743601391598121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5.9935654346500389E-2</c:v>
                </c:pt>
                <c:pt idx="1">
                  <c:v>0.10803514038672375</c:v>
                </c:pt>
                <c:pt idx="2">
                  <c:v>0.15557544605978257</c:v>
                </c:pt>
                <c:pt idx="3">
                  <c:v>0.20318693751878394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22-4D11-8DF1-22B88713D0C0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2.6127964984877297</c:v>
                </c:pt>
                <c:pt idx="1">
                  <c:v>4.9406713595986469</c:v>
                </c:pt>
                <c:pt idx="2">
                  <c:v>7.5645585542759797</c:v>
                </c:pt>
                <c:pt idx="3">
                  <c:v>9.8175134622653353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5.9812760784164108E-2</c:v>
                </c:pt>
                <c:pt idx="1">
                  <c:v>0.1084969694223261</c:v>
                </c:pt>
                <c:pt idx="2">
                  <c:v>0.15652863240702511</c:v>
                </c:pt>
                <c:pt idx="3">
                  <c:v>0.20413145829583393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22-4D11-8DF1-22B88713D0C0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2.0073477850478456</c:v>
                </c:pt>
                <c:pt idx="1">
                  <c:v>3.4616362242318286</c:v>
                </c:pt>
                <c:pt idx="2">
                  <c:v>5.114015141137684</c:v>
                </c:pt>
                <c:pt idx="3">
                  <c:v>6.3750447960737011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5.9898276176796501E-2</c:v>
                </c:pt>
                <c:pt idx="1">
                  <c:v>0.10887800289100473</c:v>
                </c:pt>
                <c:pt idx="2">
                  <c:v>0.15744514299516907</c:v>
                </c:pt>
                <c:pt idx="3">
                  <c:v>0.20581958640776699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22-4D11-8DF1-22B88713D0C0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1.3681966786634714</c:v>
                </c:pt>
                <c:pt idx="1">
                  <c:v>2.641908212560387</c:v>
                </c:pt>
                <c:pt idx="2">
                  <c:v>3.5628647694883053</c:v>
                </c:pt>
                <c:pt idx="3">
                  <c:v>4.8028630552795812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5.9988551796515549E-2</c:v>
                </c:pt>
                <c:pt idx="1">
                  <c:v>0.10908918368055555</c:v>
                </c:pt>
                <c:pt idx="2">
                  <c:v>0.15802527788761705</c:v>
                </c:pt>
                <c:pt idx="3">
                  <c:v>0.20659055760636286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22-4D11-8DF1-22B88713D0C0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1.0492290352484746</c:v>
                </c:pt>
                <c:pt idx="1">
                  <c:v>1.9112997054914689</c:v>
                </c:pt>
                <c:pt idx="2">
                  <c:v>2.8891815217030157</c:v>
                </c:pt>
                <c:pt idx="3">
                  <c:v>3.5743857474829239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6.0033603743374409E-2</c:v>
                </c:pt>
                <c:pt idx="1">
                  <c:v>0.10927740523597217</c:v>
                </c:pt>
                <c:pt idx="2">
                  <c:v>0.15827723744333849</c:v>
                </c:pt>
                <c:pt idx="3">
                  <c:v>0.20719298199399211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22-4D11-8DF1-22B88713D0C0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0.85315804032252385</c:v>
                </c:pt>
                <c:pt idx="1">
                  <c:v>1.9023000725274553</c:v>
                </c:pt>
                <c:pt idx="2">
                  <c:v>2.3836599880801863</c:v>
                </c:pt>
                <c:pt idx="3">
                  <c:v>2.8724690099919301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6.0061297398910737E-2</c:v>
                </c:pt>
                <c:pt idx="1">
                  <c:v>0.10927972374841526</c:v>
                </c:pt>
                <c:pt idx="2">
                  <c:v>0.15846630401347803</c:v>
                </c:pt>
                <c:pt idx="3">
                  <c:v>0.20753719002947313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22-4D11-8DF1-22B88713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График зависимости момента инерции</a:t>
            </a:r>
            <a:r>
              <a:rPr lang="ru-RU" sz="1050" baseline="0"/>
              <a:t> от положения утяжелителей</a:t>
            </a:r>
            <a:endParaRPr lang="ru-RU" sz="1050"/>
          </a:p>
        </c:rich>
      </c:tx>
      <c:layout>
        <c:manualLayout>
          <c:xMode val="edge"/>
          <c:yMode val="edge"/>
          <c:x val="0.22450981205659046"/>
          <c:y val="0.94010527216706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1.3615049464271925E-2</c:v>
                </c:pt>
                <c:pt idx="1">
                  <c:v>1.9828810159718852E-2</c:v>
                </c:pt>
                <c:pt idx="2">
                  <c:v>3.2880793484400692E-2</c:v>
                </c:pt>
                <c:pt idx="3">
                  <c:v>4.3382940667147617E-2</c:v>
                </c:pt>
                <c:pt idx="4">
                  <c:v>5.7094153616005797E-2</c:v>
                </c:pt>
                <c:pt idx="5">
                  <c:v>7.1987260449151602E-2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B-4B45-BCA4-3748EDE91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6807946254424625"/>
          <c:y val="0.9397678162926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43685135688323E-2"/>
          <c:y val="4.696612143510194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5.5624029261758267E-5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5.5624029261758267E-5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1.7427104599846914</c:v>
                </c:pt>
                <c:pt idx="1">
                  <c:v>6.7333258803609839</c:v>
                </c:pt>
                <c:pt idx="2">
                  <c:v>10.113164707816225</c:v>
                </c:pt>
                <c:pt idx="3">
                  <c:v>11.743601391598121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5.9935654346500389E-2</c:v>
                </c:pt>
                <c:pt idx="1">
                  <c:v>0.10803514038672375</c:v>
                </c:pt>
                <c:pt idx="2">
                  <c:v>0.15557544605978257</c:v>
                </c:pt>
                <c:pt idx="3">
                  <c:v>0.20318693751878394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3-479B-986A-7D1D329330D6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2.6127964984877297</c:v>
                </c:pt>
                <c:pt idx="1">
                  <c:v>4.9406713595986469</c:v>
                </c:pt>
                <c:pt idx="2">
                  <c:v>7.5645585542759797</c:v>
                </c:pt>
                <c:pt idx="3">
                  <c:v>9.8175134622653353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5.9812760784164108E-2</c:v>
                </c:pt>
                <c:pt idx="1">
                  <c:v>0.1084969694223261</c:v>
                </c:pt>
                <c:pt idx="2">
                  <c:v>0.15652863240702511</c:v>
                </c:pt>
                <c:pt idx="3">
                  <c:v>0.20413145829583393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B3-479B-986A-7D1D329330D6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2.0073477850478456</c:v>
                </c:pt>
                <c:pt idx="1">
                  <c:v>3.4616362242318286</c:v>
                </c:pt>
                <c:pt idx="2">
                  <c:v>5.114015141137684</c:v>
                </c:pt>
                <c:pt idx="3">
                  <c:v>6.3750447960737011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5.9898276176796501E-2</c:v>
                </c:pt>
                <c:pt idx="1">
                  <c:v>0.10887800289100473</c:v>
                </c:pt>
                <c:pt idx="2">
                  <c:v>0.15744514299516907</c:v>
                </c:pt>
                <c:pt idx="3">
                  <c:v>0.20581958640776699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B3-479B-986A-7D1D329330D6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1.3681966786634714</c:v>
                </c:pt>
                <c:pt idx="1">
                  <c:v>2.641908212560387</c:v>
                </c:pt>
                <c:pt idx="2">
                  <c:v>3.5628647694883053</c:v>
                </c:pt>
                <c:pt idx="3">
                  <c:v>4.8028630552795812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5.9988551796515549E-2</c:v>
                </c:pt>
                <c:pt idx="1">
                  <c:v>0.10908918368055555</c:v>
                </c:pt>
                <c:pt idx="2">
                  <c:v>0.15802527788761705</c:v>
                </c:pt>
                <c:pt idx="3">
                  <c:v>0.20659055760636286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B3-479B-986A-7D1D329330D6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1.0492290352484746</c:v>
                </c:pt>
                <c:pt idx="1">
                  <c:v>1.9112997054914689</c:v>
                </c:pt>
                <c:pt idx="2">
                  <c:v>2.8891815217030157</c:v>
                </c:pt>
                <c:pt idx="3">
                  <c:v>3.5743857474829239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6.0033603743374409E-2</c:v>
                </c:pt>
                <c:pt idx="1">
                  <c:v>0.10927740523597217</c:v>
                </c:pt>
                <c:pt idx="2">
                  <c:v>0.15827723744333849</c:v>
                </c:pt>
                <c:pt idx="3">
                  <c:v>0.20719298199399211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B3-479B-986A-7D1D329330D6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0.85315804032252385</c:v>
                </c:pt>
                <c:pt idx="1">
                  <c:v>1.9023000725274553</c:v>
                </c:pt>
                <c:pt idx="2">
                  <c:v>2.3836599880801863</c:v>
                </c:pt>
                <c:pt idx="3">
                  <c:v>2.8724690099919301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6.0061297398910737E-2</c:v>
                </c:pt>
                <c:pt idx="1">
                  <c:v>0.10927972374841526</c:v>
                </c:pt>
                <c:pt idx="2">
                  <c:v>0.15846630401347803</c:v>
                </c:pt>
                <c:pt idx="3">
                  <c:v>0.20753719002947313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B3-479B-986A-7D1D3293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1.3615049464271925E-2</c:v>
                </c:pt>
                <c:pt idx="1">
                  <c:v>1.9828810159718852E-2</c:v>
                </c:pt>
                <c:pt idx="2">
                  <c:v>3.2880793484400692E-2</c:v>
                </c:pt>
                <c:pt idx="3">
                  <c:v>4.3382940667147617E-2</c:v>
                </c:pt>
                <c:pt idx="4">
                  <c:v>5.7094153616005797E-2</c:v>
                </c:pt>
                <c:pt idx="5">
                  <c:v>7.1987260449151602E-2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A-4DC3-9215-65B02991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137160</xdr:rowOff>
    </xdr:from>
    <xdr:to>
      <xdr:col>18</xdr:col>
      <xdr:colOff>68580</xdr:colOff>
      <xdr:row>24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BD41C7-4EB0-457B-A8C5-0B66FBFE0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175260</xdr:rowOff>
    </xdr:from>
    <xdr:to>
      <xdr:col>10</xdr:col>
      <xdr:colOff>425050</xdr:colOff>
      <xdr:row>26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62F5A8-C9E7-4584-B2D7-AA674C91E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401138</xdr:colOff>
      <xdr:row>14</xdr:row>
      <xdr:rowOff>42454</xdr:rowOff>
    </xdr:from>
    <xdr:to>
      <xdr:col>21</xdr:col>
      <xdr:colOff>420188</xdr:colOff>
      <xdr:row>46</xdr:row>
      <xdr:rowOff>10342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99654-640A-488E-9ABB-47D651E6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33</xdr:row>
      <xdr:rowOff>117451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DFC4ED-F82E-4BC9-92C9-4A0BD4DA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00" cy="6152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G9"/>
  <sheetViews>
    <sheetView workbookViewId="0">
      <selection activeCell="A18" sqref="A1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</row>
    <row r="2" spans="1:7" ht="43.2" x14ac:dyDescent="0.3">
      <c r="A2" s="32" t="s">
        <v>38</v>
      </c>
      <c r="B2" s="28">
        <v>1</v>
      </c>
      <c r="C2" s="28">
        <v>1</v>
      </c>
      <c r="D2" s="28">
        <v>1</v>
      </c>
      <c r="E2" s="28">
        <v>1</v>
      </c>
      <c r="F2" s="28"/>
      <c r="G2" s="28"/>
    </row>
    <row r="3" spans="1:7" ht="28.8" x14ac:dyDescent="0.3">
      <c r="A3" s="32" t="s">
        <v>41</v>
      </c>
      <c r="B3" s="28">
        <v>1</v>
      </c>
      <c r="C3" s="28">
        <v>1</v>
      </c>
      <c r="D3" s="28">
        <v>1</v>
      </c>
      <c r="E3" s="28">
        <v>1</v>
      </c>
      <c r="F3" s="28"/>
      <c r="G3" s="28"/>
    </row>
    <row r="4" spans="1:7" x14ac:dyDescent="0.3">
      <c r="A4" s="32" t="s">
        <v>40</v>
      </c>
    </row>
    <row r="5" spans="1:7" ht="28.8" x14ac:dyDescent="0.3">
      <c r="A5" s="32" t="s">
        <v>43</v>
      </c>
    </row>
    <row r="6" spans="1:7" ht="28.8" x14ac:dyDescent="0.3">
      <c r="A6" s="32" t="s">
        <v>46</v>
      </c>
      <c r="B6" s="31"/>
    </row>
    <row r="7" spans="1:7" x14ac:dyDescent="0.3">
      <c r="A7" s="32" t="s">
        <v>44</v>
      </c>
      <c r="B7">
        <f>B5*B5*B2*B2</f>
        <v>0</v>
      </c>
    </row>
    <row r="8" spans="1:7" ht="28.8" x14ac:dyDescent="0.3">
      <c r="A8" s="32" t="s">
        <v>39</v>
      </c>
      <c r="B8">
        <f>SQRT(SUM(7:7))</f>
        <v>0</v>
      </c>
    </row>
    <row r="9" spans="1:7" ht="28.8" x14ac:dyDescent="0.3">
      <c r="A9" s="32" t="s">
        <v>47</v>
      </c>
      <c r="B9">
        <f>B8/B3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R9"/>
  <sheetViews>
    <sheetView workbookViewId="0">
      <selection activeCell="A3" sqref="A3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v>8.1666666666666637E-2</v>
      </c>
      <c r="B2" s="14">
        <v>48.691666666666663</v>
      </c>
      <c r="C2" s="15">
        <f>(A2-$L$2)*(A2-$L$2)</f>
        <v>0.67521436734693863</v>
      </c>
      <c r="D2" s="14">
        <f>(B2-$M$2)*(B2-$M$2)</f>
        <v>63998.398534240383</v>
      </c>
      <c r="E2" s="16">
        <f>A2-$L$2</f>
        <v>-0.82171428571428562</v>
      </c>
      <c r="F2" s="14">
        <f>B2-$M$2</f>
        <v>-252.97904761904766</v>
      </c>
      <c r="G2" s="17">
        <f>E2*F2</f>
        <v>207.876497414966</v>
      </c>
      <c r="H2" s="18">
        <f>B2-($O$2+$N$2*A2)</f>
        <v>0.42403696602093532</v>
      </c>
      <c r="I2" s="19">
        <f>H2*H2</f>
        <v>0.17980734855223987</v>
      </c>
      <c r="J2" s="24">
        <f>SQRT(4*$R$2+4*$Q$2*A2*A2)</f>
        <v>4.9576164097232098</v>
      </c>
      <c r="K2" s="18"/>
      <c r="L2" s="18">
        <f>SUM(A:A)/COUNT(A:A)</f>
        <v>0.90338095238095228</v>
      </c>
      <c r="M2" s="18">
        <f>SUM(B:B)/COUNT(B:B)</f>
        <v>301.67071428571433</v>
      </c>
      <c r="N2" s="18">
        <f>SUM(G:G)/SUM(C:C)</f>
        <v>308.38344786082757</v>
      </c>
      <c r="O2" s="18">
        <f>M2-N2*L2</f>
        <v>23.082981458678148</v>
      </c>
      <c r="P2" s="18">
        <f>SUM(C:C)</f>
        <v>1.902756984126984</v>
      </c>
      <c r="Q2" s="18">
        <f>1/P2*SUM(I:I)/(COUNT(I:I)-2)</f>
        <v>5.6135134076679245</v>
      </c>
      <c r="R2" s="18">
        <f>(1/COUNT(I:I)+L2*L2/P2)*SUM(I:I)/(COUNT(I:I)-2)</f>
        <v>6.1070511006786266</v>
      </c>
    </row>
    <row r="3" spans="1:18" ht="16.8" thickTop="1" thickBot="1" x14ac:dyDescent="0.35">
      <c r="A3" s="13">
        <v>0.38399999999999995</v>
      </c>
      <c r="B3" s="14">
        <v>141.54</v>
      </c>
      <c r="C3" s="15">
        <f>(A3-$L$2)*(A3-$L$2)</f>
        <v>0.26975657369614503</v>
      </c>
      <c r="D3" s="14">
        <f>(B3-$M$2)*(B3-$M$2)</f>
        <v>25641.845657653077</v>
      </c>
      <c r="E3" s="20">
        <f>A3-$L$2</f>
        <v>-0.51938095238095228</v>
      </c>
      <c r="F3" s="14">
        <f>B3-$M$2</f>
        <v>-160.13071428571433</v>
      </c>
      <c r="G3" s="17">
        <f>E3*F3</f>
        <v>83.168842891156473</v>
      </c>
      <c r="H3" s="18">
        <f>B3-($O$2+$N$2*A3)</f>
        <v>3.7774562764070652E-2</v>
      </c>
      <c r="I3" s="14">
        <f>H3*H3</f>
        <v>1.426917592016713E-3</v>
      </c>
      <c r="J3" s="17">
        <f t="shared" ref="J3:J8" si="0">SQRT(4*$R$2+4*$Q$2*A3*A3)</f>
        <v>5.2668006735473512</v>
      </c>
      <c r="K3" s="27"/>
      <c r="L3" s="18"/>
      <c r="M3" s="18"/>
      <c r="N3" s="34"/>
      <c r="O3" s="34"/>
      <c r="P3" s="18"/>
      <c r="Q3" s="34" t="s">
        <v>58</v>
      </c>
      <c r="R3" s="34" t="s">
        <v>59</v>
      </c>
    </row>
    <row r="4" spans="1:18" ht="15.6" thickTop="1" thickBot="1" x14ac:dyDescent="0.35">
      <c r="A4" s="13">
        <v>0.66499999999999992</v>
      </c>
      <c r="B4" s="14">
        <v>228.87500000000003</v>
      </c>
      <c r="C4" s="15">
        <f t="shared" ref="C4:C8" si="1">(A4-$L$2)*(A4-$L$2)</f>
        <v>5.6825478458049875E-2</v>
      </c>
      <c r="D4" s="14">
        <f t="shared" ref="D4:D8" si="2">(B4-$M$2)*(B4-$M$2)</f>
        <v>5299.2160183673486</v>
      </c>
      <c r="E4" s="20">
        <f t="shared" ref="E4:E8" si="3">A4-$L$2</f>
        <v>-0.23838095238095236</v>
      </c>
      <c r="F4" s="14">
        <f t="shared" ref="F4:F8" si="4">B4-$M$2</f>
        <v>-72.795714285714297</v>
      </c>
      <c r="G4" s="17">
        <f t="shared" ref="G4:G8" si="5">E4*F4</f>
        <v>17.353111700680273</v>
      </c>
      <c r="H4" s="18">
        <f t="shared" ref="H4:H8" si="6">B4-($O$2+$N$2*A4)</f>
        <v>0.71702571387157832</v>
      </c>
      <c r="I4" s="14">
        <f t="shared" ref="I4:I8" si="7">H4*H4</f>
        <v>0.51412587435304646</v>
      </c>
      <c r="J4" s="17">
        <f t="shared" si="0"/>
        <v>5.8615653429385484</v>
      </c>
      <c r="K4" s="18"/>
      <c r="L4" s="18"/>
      <c r="M4" s="18"/>
      <c r="N4" s="18"/>
      <c r="O4" s="18"/>
      <c r="P4" s="18"/>
      <c r="Q4" s="18">
        <f>SQRT(Q2)</f>
        <v>2.3692854213175591</v>
      </c>
      <c r="R4" s="18">
        <f>SQRT(R2)</f>
        <v>2.4712448483868665</v>
      </c>
    </row>
    <row r="5" spans="1:18" ht="16.8" thickTop="1" thickBot="1" x14ac:dyDescent="0.35">
      <c r="A5" s="13">
        <v>0.94166666666666643</v>
      </c>
      <c r="B5" s="14">
        <v>310.74166666666667</v>
      </c>
      <c r="C5" s="15">
        <f t="shared" si="1"/>
        <v>1.4657959183673362E-3</v>
      </c>
      <c r="D5" s="14">
        <f t="shared" si="2"/>
        <v>82.282177097505084</v>
      </c>
      <c r="E5" s="20">
        <f t="shared" si="3"/>
        <v>3.8285714285714145E-2</v>
      </c>
      <c r="F5" s="14">
        <f t="shared" si="4"/>
        <v>9.0709523809523489</v>
      </c>
      <c r="G5" s="17">
        <f t="shared" si="5"/>
        <v>0.34728789115646008</v>
      </c>
      <c r="H5" s="18">
        <f t="shared" si="6"/>
        <v>-2.7357281942906866</v>
      </c>
      <c r="I5" s="14">
        <f t="shared" si="7"/>
        <v>7.484208753036981</v>
      </c>
      <c r="J5" s="17">
        <f t="shared" si="0"/>
        <v>6.6587554841619347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>
        <v>1.1760000000000002</v>
      </c>
      <c r="B6" s="14">
        <v>388.98</v>
      </c>
      <c r="C6" s="15">
        <f t="shared" si="1"/>
        <v>7.4321145124716687E-2</v>
      </c>
      <c r="D6" s="14">
        <f t="shared" si="2"/>
        <v>7622.9113719387715</v>
      </c>
      <c r="E6" s="20">
        <f t="shared" si="3"/>
        <v>0.27261904761904787</v>
      </c>
      <c r="F6" s="14">
        <f t="shared" si="4"/>
        <v>87.309285714285693</v>
      </c>
      <c r="G6" s="17">
        <f t="shared" si="5"/>
        <v>23.802174319727907</v>
      </c>
      <c r="H6" s="18">
        <f t="shared" si="6"/>
        <v>3.2380838569886237</v>
      </c>
      <c r="I6" s="14">
        <f t="shared" si="7"/>
        <v>10.485187064890322</v>
      </c>
      <c r="J6" s="17">
        <f t="shared" si="0"/>
        <v>7.4485986384451097</v>
      </c>
      <c r="K6" s="18"/>
      <c r="L6" s="18"/>
      <c r="M6" s="18"/>
      <c r="N6" s="18"/>
      <c r="O6" s="18"/>
      <c r="P6" s="18"/>
      <c r="Q6" s="18">
        <f>Q4*2</f>
        <v>4.7385708426351183</v>
      </c>
      <c r="R6" s="18">
        <f>R4*2</f>
        <v>4.9424896967737331</v>
      </c>
    </row>
    <row r="7" spans="1:18" x14ac:dyDescent="0.3">
      <c r="A7" s="13">
        <v>1.436333333333333</v>
      </c>
      <c r="B7" s="14">
        <v>461.10166666666669</v>
      </c>
      <c r="C7" s="15">
        <f t="shared" si="1"/>
        <v>0.28403824036281156</v>
      </c>
      <c r="D7" s="14">
        <f t="shared" si="2"/>
        <v>25418.2285770975</v>
      </c>
      <c r="E7" s="20">
        <f t="shared" si="3"/>
        <v>0.53295238095238073</v>
      </c>
      <c r="F7" s="14">
        <f t="shared" si="4"/>
        <v>159.43095238095236</v>
      </c>
      <c r="G7" s="17">
        <f t="shared" si="5"/>
        <v>84.969105668934191</v>
      </c>
      <c r="H7" s="18">
        <f t="shared" si="6"/>
        <v>-4.9227404027800503</v>
      </c>
      <c r="I7" s="14">
        <f t="shared" si="7"/>
        <v>24.233373073163094</v>
      </c>
      <c r="J7" s="17">
        <f t="shared" si="0"/>
        <v>8.4114277674608857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>
        <v>1.6390000000000002</v>
      </c>
      <c r="B8" s="14">
        <v>531.7650000000001</v>
      </c>
      <c r="C8" s="15">
        <f t="shared" si="1"/>
        <v>0.54113538321995514</v>
      </c>
      <c r="D8" s="14">
        <f t="shared" si="2"/>
        <v>52943.380318367374</v>
      </c>
      <c r="E8" s="20">
        <f t="shared" si="3"/>
        <v>0.73561904761904795</v>
      </c>
      <c r="F8" s="14">
        <f t="shared" si="4"/>
        <v>230.09428571428577</v>
      </c>
      <c r="G8" s="17">
        <f t="shared" si="5"/>
        <v>169.26173931972801</v>
      </c>
      <c r="H8" s="18">
        <f t="shared" si="6"/>
        <v>3.2415474974254721</v>
      </c>
      <c r="I8" s="14">
        <f t="shared" si="7"/>
        <v>10.507630178065341</v>
      </c>
      <c r="J8" s="17">
        <f t="shared" si="0"/>
        <v>9.2058133918689755</v>
      </c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4.9989318521683403E-2"/>
  </sheetPr>
  <dimension ref="A1:G18"/>
  <sheetViews>
    <sheetView zoomScale="125" zoomScaleNormal="160" workbookViewId="0">
      <selection activeCell="A7" sqref="A7:A10"/>
    </sheetView>
  </sheetViews>
  <sheetFormatPr defaultRowHeight="14.4" x14ac:dyDescent="0.3"/>
  <cols>
    <col min="1" max="1" width="13.44140625" bestFit="1" customWidth="1"/>
  </cols>
  <sheetData>
    <row r="1" spans="1:7" x14ac:dyDescent="0.3">
      <c r="A1" s="53" t="s">
        <v>0</v>
      </c>
      <c r="B1" s="53" t="s">
        <v>1</v>
      </c>
      <c r="C1" s="53"/>
      <c r="D1" s="53"/>
      <c r="E1" s="53"/>
      <c r="F1" s="53"/>
      <c r="G1" s="53"/>
    </row>
    <row r="2" spans="1:7" x14ac:dyDescent="0.3">
      <c r="A2" s="5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52">
        <f>(47+220)/1000</f>
        <v>0.26700000000000002</v>
      </c>
      <c r="B3" s="12">
        <v>5.94</v>
      </c>
      <c r="C3" s="12">
        <v>4.9000000000000004</v>
      </c>
      <c r="D3" s="12">
        <v>5.38</v>
      </c>
      <c r="E3" s="12">
        <v>6.68</v>
      </c>
      <c r="F3" s="12">
        <v>7.75</v>
      </c>
      <c r="G3" s="12">
        <v>8.68</v>
      </c>
    </row>
    <row r="4" spans="1:7" x14ac:dyDescent="0.3">
      <c r="A4" s="52"/>
      <c r="B4" s="12">
        <v>5.83</v>
      </c>
      <c r="C4" s="12">
        <v>4.7</v>
      </c>
      <c r="D4" s="12">
        <v>5.65</v>
      </c>
      <c r="E4" s="12">
        <v>6.66</v>
      </c>
      <c r="F4" s="12">
        <v>7.27</v>
      </c>
      <c r="G4" s="12">
        <v>8.1999999999999993</v>
      </c>
    </row>
    <row r="5" spans="1:7" x14ac:dyDescent="0.3">
      <c r="A5" s="52"/>
      <c r="B5" s="12">
        <v>5.96</v>
      </c>
      <c r="C5" s="12">
        <v>4.88</v>
      </c>
      <c r="D5" s="12">
        <v>5.49</v>
      </c>
      <c r="E5" s="12">
        <v>6.67</v>
      </c>
      <c r="F5" s="12">
        <v>7.83</v>
      </c>
      <c r="G5" s="12">
        <v>8.4600000000000009</v>
      </c>
    </row>
    <row r="6" spans="1:7" x14ac:dyDescent="0.3">
      <c r="A6" s="52"/>
      <c r="B6" s="12">
        <f>SUM(B3:B5)/3</f>
        <v>5.91</v>
      </c>
      <c r="C6" s="12">
        <f t="shared" ref="C6:G6" si="0">SUM(C3:C5)/3</f>
        <v>4.8266666666666671</v>
      </c>
      <c r="D6" s="12">
        <f t="shared" si="0"/>
        <v>5.5066666666666677</v>
      </c>
      <c r="E6" s="12">
        <f t="shared" si="0"/>
        <v>6.669999999999999</v>
      </c>
      <c r="F6" s="12">
        <f t="shared" si="0"/>
        <v>7.6166666666666671</v>
      </c>
      <c r="G6" s="12">
        <f t="shared" si="0"/>
        <v>8.4466666666666672</v>
      </c>
    </row>
    <row r="7" spans="1:7" x14ac:dyDescent="0.3">
      <c r="A7" s="52">
        <f>(47+220*2)/1000</f>
        <v>0.48699999999999999</v>
      </c>
      <c r="B7" s="12">
        <v>3.09</v>
      </c>
      <c r="C7" s="12">
        <v>3.42</v>
      </c>
      <c r="D7" s="12">
        <v>4.2</v>
      </c>
      <c r="E7" s="12">
        <v>4.71</v>
      </c>
      <c r="F7" s="12">
        <v>5.68</v>
      </c>
      <c r="G7" s="12">
        <v>5.64</v>
      </c>
    </row>
    <row r="8" spans="1:7" x14ac:dyDescent="0.3">
      <c r="A8" s="52"/>
      <c r="B8" s="12">
        <v>3.04</v>
      </c>
      <c r="C8" s="12">
        <v>3.57</v>
      </c>
      <c r="D8" s="12">
        <v>4.07</v>
      </c>
      <c r="E8" s="12">
        <v>4.96</v>
      </c>
      <c r="F8" s="12">
        <v>5.47</v>
      </c>
      <c r="G8" s="12">
        <v>5.84</v>
      </c>
    </row>
    <row r="9" spans="1:7" x14ac:dyDescent="0.3">
      <c r="A9" s="52"/>
      <c r="B9" s="12">
        <v>2.89</v>
      </c>
      <c r="C9" s="12">
        <v>3.54</v>
      </c>
      <c r="D9" s="12">
        <v>4.3099999999999996</v>
      </c>
      <c r="E9" s="12">
        <v>4.7300000000000004</v>
      </c>
      <c r="F9" s="12">
        <v>5.78</v>
      </c>
      <c r="G9" s="12">
        <v>5.49</v>
      </c>
    </row>
    <row r="10" spans="1:7" x14ac:dyDescent="0.3">
      <c r="A10" s="52"/>
      <c r="B10" s="12">
        <f>SUM(B7:B9)/3</f>
        <v>3.0066666666666664</v>
      </c>
      <c r="C10" s="12">
        <f t="shared" ref="C10:G10" si="1">SUM(C7:C9)/3</f>
        <v>3.5100000000000002</v>
      </c>
      <c r="D10" s="12">
        <f t="shared" si="1"/>
        <v>4.1933333333333325</v>
      </c>
      <c r="E10" s="12">
        <f t="shared" si="1"/>
        <v>4.8</v>
      </c>
      <c r="F10" s="12">
        <f t="shared" si="1"/>
        <v>5.6433333333333335</v>
      </c>
      <c r="G10" s="12">
        <f t="shared" si="1"/>
        <v>5.6566666666666663</v>
      </c>
    </row>
    <row r="11" spans="1:7" x14ac:dyDescent="0.3">
      <c r="A11" s="52">
        <f>(47+220*3)/1000</f>
        <v>0.70699999999999996</v>
      </c>
      <c r="B11" s="12">
        <v>2.42</v>
      </c>
      <c r="C11" s="12">
        <v>2.86</v>
      </c>
      <c r="D11" s="12">
        <v>3.45</v>
      </c>
      <c r="E11" s="12">
        <v>4.01</v>
      </c>
      <c r="F11" s="12">
        <v>4.5999999999999996</v>
      </c>
      <c r="G11" s="12">
        <v>4.9800000000000004</v>
      </c>
    </row>
    <row r="12" spans="1:7" x14ac:dyDescent="0.3">
      <c r="A12" s="52"/>
      <c r="B12" s="12">
        <v>2.52</v>
      </c>
      <c r="C12" s="12">
        <v>2.75</v>
      </c>
      <c r="D12" s="12">
        <v>3.52</v>
      </c>
      <c r="E12" s="12">
        <v>4.21</v>
      </c>
      <c r="F12" s="12">
        <v>4.67</v>
      </c>
      <c r="G12" s="12">
        <v>4.95</v>
      </c>
    </row>
    <row r="13" spans="1:7" x14ac:dyDescent="0.3">
      <c r="A13" s="52"/>
      <c r="B13" s="12">
        <v>2.42</v>
      </c>
      <c r="C13" s="12">
        <v>2.9</v>
      </c>
      <c r="D13" s="12">
        <v>3.38</v>
      </c>
      <c r="E13" s="12">
        <v>4.18</v>
      </c>
      <c r="F13" s="12">
        <v>4.5</v>
      </c>
      <c r="G13" s="12">
        <v>5.23</v>
      </c>
    </row>
    <row r="14" spans="1:7" x14ac:dyDescent="0.3">
      <c r="A14" s="52"/>
      <c r="B14" s="12">
        <f>SUM(B11:B13)/3</f>
        <v>2.4533333333333331</v>
      </c>
      <c r="C14" s="12">
        <f t="shared" ref="C14" si="2">SUM(C11:C13)/3</f>
        <v>2.8366666666666664</v>
      </c>
      <c r="D14" s="12">
        <f t="shared" ref="D14" si="3">SUM(D11:D13)/3</f>
        <v>3.4500000000000006</v>
      </c>
      <c r="E14" s="12">
        <f t="shared" ref="E14" si="4">SUM(E11:E13)/3</f>
        <v>4.1333333333333329</v>
      </c>
      <c r="F14" s="12">
        <f t="shared" ref="F14" si="5">SUM(F11:F13)/3</f>
        <v>4.59</v>
      </c>
      <c r="G14" s="12">
        <f t="shared" ref="G14" si="6">SUM(G11:G13)/3</f>
        <v>5.0533333333333337</v>
      </c>
    </row>
    <row r="15" spans="1:7" x14ac:dyDescent="0.3">
      <c r="A15" s="52">
        <f>(47+220*4)/1000</f>
        <v>0.92700000000000005</v>
      </c>
      <c r="B15" s="12">
        <v>2.12</v>
      </c>
      <c r="C15" s="12">
        <v>2.64</v>
      </c>
      <c r="D15" s="12">
        <v>3.17</v>
      </c>
      <c r="E15" s="12">
        <v>3.49</v>
      </c>
      <c r="F15" s="12">
        <v>4.18</v>
      </c>
      <c r="G15" s="12">
        <v>4.79</v>
      </c>
    </row>
    <row r="16" spans="1:7" x14ac:dyDescent="0.3">
      <c r="A16" s="52"/>
      <c r="B16" s="12">
        <v>2.31</v>
      </c>
      <c r="C16" s="12">
        <v>2.2999999999999998</v>
      </c>
      <c r="D16" s="12">
        <v>2.98</v>
      </c>
      <c r="E16" s="12">
        <v>3.68</v>
      </c>
      <c r="F16" s="12">
        <v>4.0599999999999996</v>
      </c>
      <c r="G16" s="12">
        <v>4.71</v>
      </c>
    </row>
    <row r="17" spans="1:7" x14ac:dyDescent="0.3">
      <c r="A17" s="52"/>
      <c r="B17" s="12">
        <v>2.4</v>
      </c>
      <c r="C17" s="12">
        <v>2.5299999999999998</v>
      </c>
      <c r="D17" s="12">
        <v>3.12</v>
      </c>
      <c r="E17" s="12">
        <v>3.51</v>
      </c>
      <c r="F17" s="12">
        <v>4.1399999999999997</v>
      </c>
      <c r="G17" s="12">
        <v>4.3099999999999996</v>
      </c>
    </row>
    <row r="18" spans="1:7" x14ac:dyDescent="0.3">
      <c r="A18" s="52"/>
      <c r="B18" s="12">
        <f>SUM(B15:B17)/3</f>
        <v>2.2766666666666668</v>
      </c>
      <c r="C18" s="12">
        <f t="shared" ref="C18" si="7">SUM(C15:C17)/3</f>
        <v>2.4899999999999998</v>
      </c>
      <c r="D18" s="12">
        <f t="shared" ref="D18" si="8">SUM(D15:D17)/3</f>
        <v>3.09</v>
      </c>
      <c r="E18" s="12">
        <f t="shared" ref="E18" si="9">SUM(E15:E17)/3</f>
        <v>3.56</v>
      </c>
      <c r="F18" s="12">
        <f t="shared" ref="F18" si="10">SUM(F15:F17)/3</f>
        <v>4.126666666666666</v>
      </c>
      <c r="G18" s="12">
        <f t="shared" ref="G18" si="11">SUM(G15:G17)/3</f>
        <v>4.6033333333333326</v>
      </c>
    </row>
  </sheetData>
  <mergeCells count="6">
    <mergeCell ref="A15:A18"/>
    <mergeCell ref="A1:A2"/>
    <mergeCell ref="B1:G1"/>
    <mergeCell ref="A3:A6"/>
    <mergeCell ref="A7:A10"/>
    <mergeCell ref="A11:A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4.9989318521683403E-2"/>
  </sheetPr>
  <dimension ref="A1:E26"/>
  <sheetViews>
    <sheetView tabSelected="1" zoomScale="112" workbookViewId="0">
      <selection activeCell="D3" sqref="D3"/>
    </sheetView>
  </sheetViews>
  <sheetFormatPr defaultRowHeight="14.4" x14ac:dyDescent="0.3"/>
  <cols>
    <col min="1" max="1" width="13.44140625" bestFit="1" customWidth="1"/>
  </cols>
  <sheetData>
    <row r="1" spans="1:5" ht="18" customHeight="1" x14ac:dyDescent="0.3"/>
    <row r="2" spans="1:5" ht="16.8" x14ac:dyDescent="0.35">
      <c r="A2" s="21" t="s">
        <v>0</v>
      </c>
      <c r="B2" s="21" t="s">
        <v>8</v>
      </c>
      <c r="C2" s="22" t="s">
        <v>9</v>
      </c>
      <c r="D2" s="23" t="s">
        <v>10</v>
      </c>
      <c r="E2" s="2" t="s">
        <v>11</v>
      </c>
    </row>
    <row r="3" spans="1:5" x14ac:dyDescent="0.3">
      <c r="A3" s="52">
        <f>'Таблица 1'!A3</f>
        <v>0.26700000000000002</v>
      </c>
      <c r="B3" s="12">
        <f>'Таблица 1'!B6</f>
        <v>5.91</v>
      </c>
      <c r="C3" s="12">
        <f>'Параметры установки'!$A$2*2/B3/B3</f>
        <v>4.00823405796479E-2</v>
      </c>
      <c r="D3" s="12">
        <f>2*C3/'Параметры установки'!$B$2</f>
        <v>1.7427104599846914</v>
      </c>
      <c r="E3" s="12">
        <f>$A$3*'Параметры установки'!$B$2/2*(9.8-C3)</f>
        <v>5.9935654346500389E-2</v>
      </c>
    </row>
    <row r="4" spans="1:5" x14ac:dyDescent="0.3">
      <c r="A4" s="52"/>
      <c r="B4" s="12">
        <f>'Таблица 1'!C6</f>
        <v>4.8266666666666671</v>
      </c>
      <c r="C4" s="12">
        <f>'Параметры установки'!$A$2*2/B4/B4</f>
        <v>6.0094319465217781E-2</v>
      </c>
      <c r="D4" s="12">
        <f>2*C4/'Параметры установки'!$B$2</f>
        <v>2.6127964984877297</v>
      </c>
      <c r="E4" s="12">
        <f>$A$3*'Параметры установки'!$B$2/2*(9.8-C4)</f>
        <v>5.9812760784164108E-2</v>
      </c>
    </row>
    <row r="5" spans="1:5" x14ac:dyDescent="0.3">
      <c r="A5" s="52"/>
      <c r="B5" s="12">
        <f>'Таблица 1'!D6</f>
        <v>5.5066666666666677</v>
      </c>
      <c r="C5" s="12">
        <f>'Параметры установки'!$A$2*2/B5/B5</f>
        <v>4.6168999056100446E-2</v>
      </c>
      <c r="D5" s="12">
        <f>2*C5/'Параметры установки'!$B$2</f>
        <v>2.0073477850478456</v>
      </c>
      <c r="E5" s="12">
        <f>$A$3*'Параметры установки'!$B$2/2*(9.8-C5)</f>
        <v>5.9898276176796501E-2</v>
      </c>
    </row>
    <row r="6" spans="1:5" x14ac:dyDescent="0.3">
      <c r="A6" s="52"/>
      <c r="B6" s="12">
        <f>'Таблица 1'!E6</f>
        <v>6.669999999999999</v>
      </c>
      <c r="C6" s="12">
        <f>'Параметры установки'!$A$2*2/B6/B6</f>
        <v>3.1468523609259842E-2</v>
      </c>
      <c r="D6" s="12">
        <f>2*C6/'Параметры установки'!$B$2</f>
        <v>1.3681966786634714</v>
      </c>
      <c r="E6" s="12">
        <f>$A$3*'Параметры установки'!$B$2/2*(9.8-C6)</f>
        <v>5.9988551796515549E-2</v>
      </c>
    </row>
    <row r="7" spans="1:5" x14ac:dyDescent="0.3">
      <c r="A7" s="52"/>
      <c r="B7" s="12">
        <f>'Таблица 1'!F6</f>
        <v>7.6166666666666671</v>
      </c>
      <c r="C7" s="12">
        <f>'Параметры установки'!$A$2*2/B7/B7</f>
        <v>2.4132267810714914E-2</v>
      </c>
      <c r="D7" s="12">
        <f>2*C7/'Параметры установки'!$B$2</f>
        <v>1.0492290352484746</v>
      </c>
      <c r="E7" s="12">
        <f>$A$3*'Параметры установки'!$B$2/2*(9.8-C7)</f>
        <v>6.0033603743374409E-2</v>
      </c>
    </row>
    <row r="8" spans="1:5" x14ac:dyDescent="0.3">
      <c r="A8" s="52"/>
      <c r="B8" s="12">
        <f>'Таблица 1'!G6</f>
        <v>8.4466666666666672</v>
      </c>
      <c r="C8" s="12">
        <f>'Параметры установки'!$A$2*2/B8/B8</f>
        <v>1.9622634927418049E-2</v>
      </c>
      <c r="D8" s="12">
        <f>2*C8/'Параметры установки'!$B$2</f>
        <v>0.85315804032252385</v>
      </c>
      <c r="E8" s="12">
        <f>$A$3*'Параметры установки'!$B$2/2*(9.8-C8)</f>
        <v>6.0061297398910737E-2</v>
      </c>
    </row>
    <row r="9" spans="1:5" x14ac:dyDescent="0.3">
      <c r="A9" s="52">
        <f>'Таблица 1'!A7</f>
        <v>0.48699999999999999</v>
      </c>
      <c r="B9" s="12">
        <f>'Таблица 1'!B10</f>
        <v>3.0066666666666664</v>
      </c>
      <c r="C9" s="12">
        <f>'Параметры установки'!$A$2*2/B9/B9</f>
        <v>0.15486649524830262</v>
      </c>
      <c r="D9" s="12">
        <f>2*C9/'Параметры установки'!$B$2</f>
        <v>6.7333258803609839</v>
      </c>
      <c r="E9" s="12">
        <f>$A$9*'Параметры установки'!$B$2/2*(9.8-C9)</f>
        <v>0.10803514038672375</v>
      </c>
    </row>
    <row r="10" spans="1:5" x14ac:dyDescent="0.3">
      <c r="A10" s="52"/>
      <c r="B10" s="12">
        <f>'Таблица 1'!C10</f>
        <v>3.5100000000000002</v>
      </c>
      <c r="C10" s="12">
        <f>'Параметры установки'!$A$2*2/B10/B10</f>
        <v>0.11363544127076888</v>
      </c>
      <c r="D10" s="12">
        <f>2*C10/'Параметры установки'!$B$2</f>
        <v>4.9406713595986469</v>
      </c>
      <c r="E10" s="12">
        <f>$A$9*'Параметры установки'!$B$2/2*(9.8-C10)</f>
        <v>0.1084969694223261</v>
      </c>
    </row>
    <row r="11" spans="1:5" x14ac:dyDescent="0.3">
      <c r="A11" s="52"/>
      <c r="B11" s="12">
        <f>'Таблица 1'!D10</f>
        <v>4.1933333333333325</v>
      </c>
      <c r="C11" s="12">
        <f>'Параметры установки'!$A$2*2/B11/B11</f>
        <v>7.9617633157332057E-2</v>
      </c>
      <c r="D11" s="12">
        <f>2*C11/'Параметры установки'!$B$2</f>
        <v>3.4616362242318286</v>
      </c>
      <c r="E11" s="12">
        <f>$A$9*'Параметры установки'!$B$2/2*(9.8-C11)</f>
        <v>0.10887800289100473</v>
      </c>
    </row>
    <row r="12" spans="1:5" x14ac:dyDescent="0.3">
      <c r="A12" s="52"/>
      <c r="B12" s="12">
        <f>'Таблица 1'!E10</f>
        <v>4.8</v>
      </c>
      <c r="C12" s="12">
        <f>'Параметры установки'!$A$2*2/B12/B12</f>
        <v>6.0763888888888895E-2</v>
      </c>
      <c r="D12" s="12">
        <f>2*C12/'Параметры установки'!$B$2</f>
        <v>2.641908212560387</v>
      </c>
      <c r="E12" s="12">
        <f>$A$9*'Параметры установки'!$B$2/2*(9.8-C12)</f>
        <v>0.10908918368055555</v>
      </c>
    </row>
    <row r="13" spans="1:5" x14ac:dyDescent="0.3">
      <c r="A13" s="52"/>
      <c r="B13" s="12">
        <f>'Таблица 1'!F10</f>
        <v>5.6433333333333335</v>
      </c>
      <c r="C13" s="12">
        <f>'Параметры установки'!$A$2*2/B13/B13</f>
        <v>4.3959893226303781E-2</v>
      </c>
      <c r="D13" s="12">
        <f>2*C13/'Параметры установки'!$B$2</f>
        <v>1.9112997054914689</v>
      </c>
      <c r="E13" s="12">
        <f>$A$9*'Параметры установки'!$B$2/2*(9.8-C13)</f>
        <v>0.10927740523597217</v>
      </c>
    </row>
    <row r="14" spans="1:5" x14ac:dyDescent="0.3">
      <c r="A14" s="52"/>
      <c r="B14" s="12">
        <f>'Таблица 1'!G10</f>
        <v>5.6566666666666663</v>
      </c>
      <c r="C14" s="12">
        <f>'Параметры установки'!$A$2*2/B14/B14</f>
        <v>4.3752901668131471E-2</v>
      </c>
      <c r="D14" s="12">
        <f>2*C14/'Параметры установки'!$B$2</f>
        <v>1.9023000725274553</v>
      </c>
      <c r="E14" s="12">
        <f>$A$9*'Параметры установки'!$B$2/2*(9.8-C14)</f>
        <v>0.10927972374841526</v>
      </c>
    </row>
    <row r="15" spans="1:5" x14ac:dyDescent="0.3">
      <c r="A15" s="52">
        <f>'Таблица 1'!A11</f>
        <v>0.70699999999999996</v>
      </c>
      <c r="B15" s="12">
        <f>'Таблица 1'!B14</f>
        <v>2.4533333333333331</v>
      </c>
      <c r="C15" s="12">
        <f>'Параметры установки'!$A$2*2/B15/B15</f>
        <v>0.23260278827977315</v>
      </c>
      <c r="D15" s="12">
        <f>2*C15/'Параметры установки'!$B$2</f>
        <v>10.113164707816225</v>
      </c>
      <c r="E15" s="12">
        <f>$A$15*'Параметры установки'!$B$2/2*(9.8-C15)</f>
        <v>0.15557544605978257</v>
      </c>
    </row>
    <row r="16" spans="1:5" x14ac:dyDescent="0.3">
      <c r="A16" s="52"/>
      <c r="B16" s="12">
        <f>'Таблица 1'!C14</f>
        <v>2.8366666666666664</v>
      </c>
      <c r="C16" s="12">
        <f>'Параметры установки'!$A$2*2/B16/B16</f>
        <v>0.17398484674834752</v>
      </c>
      <c r="D16" s="12">
        <f>2*C16/'Параметры установки'!$B$2</f>
        <v>7.5645585542759797</v>
      </c>
      <c r="E16" s="12">
        <f>$A$15*'Параметры установки'!$B$2/2*(9.8-C16)</f>
        <v>0.15652863240702511</v>
      </c>
    </row>
    <row r="17" spans="1:5" x14ac:dyDescent="0.3">
      <c r="A17" s="52"/>
      <c r="B17" s="12">
        <f>'Таблица 1'!D14</f>
        <v>3.4500000000000006</v>
      </c>
      <c r="C17" s="12">
        <f>'Параметры установки'!$A$2*2/B17/B17</f>
        <v>0.11762234824616673</v>
      </c>
      <c r="D17" s="12">
        <f>2*C17/'Параметры установки'!$B$2</f>
        <v>5.114015141137684</v>
      </c>
      <c r="E17" s="12">
        <f>$A$15*'Параметры установки'!$B$2/2*(9.8-C17)</f>
        <v>0.15744514299516907</v>
      </c>
    </row>
    <row r="18" spans="1:5" x14ac:dyDescent="0.3">
      <c r="A18" s="52"/>
      <c r="B18" s="12">
        <f>'Таблица 1'!E14</f>
        <v>4.1333333333333329</v>
      </c>
      <c r="C18" s="12">
        <f>'Параметры установки'!$A$2*2/B18/B18</f>
        <v>8.1945889698231023E-2</v>
      </c>
      <c r="D18" s="12">
        <f>2*C18/'Параметры установки'!$B$2</f>
        <v>3.5628647694883053</v>
      </c>
      <c r="E18" s="12">
        <f>$A$15*'Параметры установки'!$B$2/2*(9.8-C18)</f>
        <v>0.15802527788761705</v>
      </c>
    </row>
    <row r="19" spans="1:5" x14ac:dyDescent="0.3">
      <c r="A19" s="52"/>
      <c r="B19" s="12">
        <f>'Таблица 1'!F14</f>
        <v>4.59</v>
      </c>
      <c r="C19" s="12">
        <f>'Параметры установки'!$A$2*2/B19/B19</f>
        <v>6.645117499916936E-2</v>
      </c>
      <c r="D19" s="12">
        <f>2*C19/'Параметры установки'!$B$2</f>
        <v>2.8891815217030157</v>
      </c>
      <c r="E19" s="12">
        <f>$A$15*'Параметры установки'!$B$2/2*(9.8-C19)</f>
        <v>0.15827723744333849</v>
      </c>
    </row>
    <row r="20" spans="1:5" x14ac:dyDescent="0.3">
      <c r="A20" s="52"/>
      <c r="B20" s="12">
        <f>'Таблица 1'!G14</f>
        <v>5.0533333333333337</v>
      </c>
      <c r="C20" s="12">
        <f>'Параметры установки'!$A$2*2/B20/B20</f>
        <v>5.4824179725844281E-2</v>
      </c>
      <c r="D20" s="12">
        <f>2*C20/'Параметры установки'!$B$2</f>
        <v>2.3836599880801863</v>
      </c>
      <c r="E20" s="12">
        <f>$A$15*'Параметры установки'!$B$2/2*(9.8-C20)</f>
        <v>0.15846630401347803</v>
      </c>
    </row>
    <row r="21" spans="1:5" x14ac:dyDescent="0.3">
      <c r="A21" s="52">
        <f>'Таблица 1'!A15</f>
        <v>0.92700000000000005</v>
      </c>
      <c r="B21" s="12">
        <f>'Таблица 1'!B18</f>
        <v>2.2766666666666668</v>
      </c>
      <c r="C21" s="12">
        <f>'Параметры установки'!$A$2*2/B21/B21</f>
        <v>0.27010283200675678</v>
      </c>
      <c r="D21" s="12">
        <f>2*C21/'Параметры установки'!$B$2</f>
        <v>11.743601391598121</v>
      </c>
      <c r="E21" s="12">
        <f>$A$21*'Параметры установки'!$B$2/2*(9.8-C21)</f>
        <v>0.20318693751878394</v>
      </c>
    </row>
    <row r="22" spans="1:5" x14ac:dyDescent="0.3">
      <c r="A22" s="52"/>
      <c r="B22" s="12">
        <f>'Таблица 1'!C18</f>
        <v>2.4899999999999998</v>
      </c>
      <c r="C22" s="12">
        <f>'Параметры установки'!$A$2*2/B22/B22</f>
        <v>0.22580280963210272</v>
      </c>
      <c r="D22" s="12">
        <f>2*C22/'Параметры установки'!$B$2</f>
        <v>9.8175134622653353</v>
      </c>
      <c r="E22" s="12">
        <f>$A$21*'Параметры установки'!$B$2/2*(9.8-C22)</f>
        <v>0.20413145829583393</v>
      </c>
    </row>
    <row r="23" spans="1:5" x14ac:dyDescent="0.3">
      <c r="A23" s="52"/>
      <c r="B23" s="12">
        <f>'Таблица 1'!D18</f>
        <v>3.09</v>
      </c>
      <c r="C23" s="12">
        <f>'Параметры установки'!$A$2*2/B23/B23</f>
        <v>0.14662603030969512</v>
      </c>
      <c r="D23" s="12">
        <f>2*C23/'Параметры установки'!$B$2</f>
        <v>6.3750447960737011</v>
      </c>
      <c r="E23" s="12">
        <f>$A$21*'Параметры установки'!$B$2/2*(9.8-C23)</f>
        <v>0.20581958640776699</v>
      </c>
    </row>
    <row r="24" spans="1:5" x14ac:dyDescent="0.3">
      <c r="A24" s="52"/>
      <c r="B24" s="12">
        <f>'Таблица 1'!E18</f>
        <v>3.56</v>
      </c>
      <c r="C24" s="12">
        <f>'Параметры установки'!$A$2*2/B24/B24</f>
        <v>0.11046585027143037</v>
      </c>
      <c r="D24" s="12">
        <f>2*C24/'Параметры установки'!$B$2</f>
        <v>4.8028630552795812</v>
      </c>
      <c r="E24" s="12">
        <f>$A$21*'Параметры установки'!$B$2/2*(9.8-C24)</f>
        <v>0.20659055760636286</v>
      </c>
    </row>
    <row r="25" spans="1:5" x14ac:dyDescent="0.3">
      <c r="A25" s="52"/>
      <c r="B25" s="12">
        <f>'Таблица 1'!F18</f>
        <v>4.126666666666666</v>
      </c>
      <c r="C25" s="12">
        <f>'Параметры установки'!$A$2*2/B25/B25</f>
        <v>8.2210872192107251E-2</v>
      </c>
      <c r="D25" s="12">
        <f>2*C25/'Параметры установки'!$B$2</f>
        <v>3.5743857474829239</v>
      </c>
      <c r="E25" s="12">
        <f>$A$21*'Параметры установки'!$B$2/2*(9.8-C25)</f>
        <v>0.20719298199399211</v>
      </c>
    </row>
    <row r="26" spans="1:5" x14ac:dyDescent="0.3">
      <c r="A26" s="52"/>
      <c r="B26" s="12">
        <f>'Таблица 1'!G18</f>
        <v>4.6033333333333326</v>
      </c>
      <c r="C26" s="12">
        <f>'Параметры установки'!$A$2*2/B26/B26</f>
        <v>6.6066787229814392E-2</v>
      </c>
      <c r="D26" s="12">
        <f>2*C26/'Параметры установки'!$B$2</f>
        <v>2.8724690099919301</v>
      </c>
      <c r="E26" s="12">
        <f>$A$21*'Параметры установки'!$B$2/2*(9.8-C26)</f>
        <v>0.20753719002947313</v>
      </c>
    </row>
  </sheetData>
  <mergeCells count="4">
    <mergeCell ref="A21:A26"/>
    <mergeCell ref="A3:A8"/>
    <mergeCell ref="A9:A14"/>
    <mergeCell ref="A15:A2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1:G4"/>
  <sheetViews>
    <sheetView zoomScale="103" workbookViewId="0">
      <selection activeCell="G4" sqref="B2:G4"/>
    </sheetView>
  </sheetViews>
  <sheetFormatPr defaultRowHeight="14.4" x14ac:dyDescent="0.3"/>
  <cols>
    <col min="1" max="1" width="12.88671875" bestFit="1" customWidth="1"/>
  </cols>
  <sheetData>
    <row r="1" spans="1:7" ht="28.8" x14ac:dyDescent="0.3">
      <c r="A1" s="32" t="s">
        <v>51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</row>
    <row r="2" spans="1:7" x14ac:dyDescent="0.3">
      <c r="A2" s="32" t="s">
        <v>52</v>
      </c>
      <c r="B2" s="2">
        <f>'Параметры установки'!$C$2+(B1-1)*'Параметры установки'!$D$2+'Параметры установки'!$E$2/2</f>
        <v>7.6999999999999999E-2</v>
      </c>
      <c r="C2" s="2">
        <f>'Параметры установки'!$C$2+(C1-1)*'Параметры установки'!$D$2+'Параметры установки'!$E$2/2</f>
        <v>0.10200000000000001</v>
      </c>
      <c r="D2" s="2">
        <f>'Параметры установки'!$C$2+(D1-1)*'Параметры установки'!$D$2+'Параметры установки'!$E$2/2</f>
        <v>0.127</v>
      </c>
      <c r="E2" s="2">
        <f>'Параметры установки'!$C$2+(E1-1)*'Параметры установки'!$D$2+'Параметры установки'!$E$2/2</f>
        <v>0.152</v>
      </c>
      <c r="F2" s="2">
        <f>'Параметры установки'!$C$2+(F1-1)*'Параметры установки'!$D$2+'Параметры установки'!$E$2/2</f>
        <v>0.17699999999999999</v>
      </c>
      <c r="G2" s="2">
        <f>'Параметры установки'!$C$2+(G1-1)*'Параметры установки'!$D$2+'Параметры установки'!$E$2/2</f>
        <v>0.20199999999999999</v>
      </c>
    </row>
    <row r="3" spans="1:7" ht="16.2" x14ac:dyDescent="0.3">
      <c r="A3" s="32" t="s">
        <v>53</v>
      </c>
      <c r="B3" s="2">
        <f>B2*B2</f>
        <v>5.9290000000000002E-3</v>
      </c>
      <c r="C3" s="2">
        <f t="shared" ref="C3:G3" si="0">C2*C2</f>
        <v>1.0404000000000002E-2</v>
      </c>
      <c r="D3" s="2">
        <f t="shared" si="0"/>
        <v>1.6129000000000001E-2</v>
      </c>
      <c r="E3" s="2">
        <f t="shared" si="0"/>
        <v>2.3104E-2</v>
      </c>
      <c r="F3" s="2">
        <f t="shared" si="0"/>
        <v>3.1328999999999996E-2</v>
      </c>
      <c r="G3" s="2">
        <f t="shared" si="0"/>
        <v>4.0803999999999993E-2</v>
      </c>
    </row>
    <row r="4" spans="1:7" x14ac:dyDescent="0.3">
      <c r="A4" s="32" t="s">
        <v>54</v>
      </c>
      <c r="B4" s="12">
        <f>'МНК рис.1'!N2</f>
        <v>1.3615049464271925E-2</v>
      </c>
      <c r="C4" s="12">
        <f>'МНК рис.2'!N2</f>
        <v>1.9828810159718852E-2</v>
      </c>
      <c r="D4" s="12">
        <f>'МНК рис.3'!N2</f>
        <v>3.2880793484400692E-2</v>
      </c>
      <c r="E4" s="12">
        <f>'МНК рис.4'!N2</f>
        <v>4.3382940667147617E-2</v>
      </c>
      <c r="F4" s="12">
        <f>'МНК рис.5'!N2</f>
        <v>5.7094153616005797E-2</v>
      </c>
      <c r="G4" s="12">
        <f>'МНК рис.6'!N2</f>
        <v>7.1987260449151602E-2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topLeftCell="E12" zoomScale="56" zoomScaleNormal="100" workbookViewId="0">
      <selection activeCell="R24" sqref="R24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"/>
  <sheetViews>
    <sheetView zoomScale="73" workbookViewId="0">
      <selection activeCell="J33" sqref="J33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G51"/>
  <sheetViews>
    <sheetView topLeftCell="A20" workbookViewId="0">
      <selection activeCell="G35" sqref="G35"/>
    </sheetView>
  </sheetViews>
  <sheetFormatPr defaultRowHeight="14.4" x14ac:dyDescent="0.3"/>
  <cols>
    <col min="1" max="1" width="14.33203125" customWidth="1"/>
    <col min="2" max="2" width="11" customWidth="1"/>
    <col min="3" max="3" width="11.33203125" customWidth="1"/>
    <col min="4" max="4" width="10.6640625" customWidth="1"/>
    <col min="5" max="5" width="10" customWidth="1"/>
    <col min="6" max="6" width="10.33203125" customWidth="1"/>
    <col min="7" max="7" width="13.44140625" customWidth="1"/>
  </cols>
  <sheetData>
    <row r="1" spans="1:7" ht="47.4" customHeight="1" x14ac:dyDescent="0.3">
      <c r="A1" s="54" t="s">
        <v>62</v>
      </c>
      <c r="B1" s="54"/>
      <c r="C1" s="54"/>
      <c r="D1" s="54"/>
      <c r="E1" s="54"/>
      <c r="F1" s="54"/>
      <c r="G1" s="54"/>
    </row>
    <row r="2" spans="1:7" x14ac:dyDescent="0.3">
      <c r="A2" s="63" t="s">
        <v>65</v>
      </c>
      <c r="B2" s="56" t="s">
        <v>1</v>
      </c>
      <c r="C2" s="57"/>
      <c r="D2" s="57"/>
      <c r="E2" s="57"/>
      <c r="F2" s="57"/>
      <c r="G2" s="58"/>
    </row>
    <row r="3" spans="1:7" x14ac:dyDescent="0.3">
      <c r="A3" s="64"/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x14ac:dyDescent="0.3">
      <c r="A4" s="59">
        <f>0.047+0.22</f>
        <v>0.26700000000000002</v>
      </c>
      <c r="B4" s="41">
        <v>4.2</v>
      </c>
      <c r="C4" s="41">
        <v>4.97</v>
      </c>
      <c r="D4" s="41">
        <v>6</v>
      </c>
      <c r="E4" s="41">
        <v>6.86</v>
      </c>
      <c r="F4" s="41">
        <v>7.78</v>
      </c>
      <c r="G4" s="41">
        <v>8.8800000000000008</v>
      </c>
    </row>
    <row r="5" spans="1:7" x14ac:dyDescent="0.3">
      <c r="A5" s="60"/>
      <c r="B5" s="41">
        <v>4.3</v>
      </c>
      <c r="C5" s="41">
        <v>4.87</v>
      </c>
      <c r="D5" s="41">
        <v>5.93</v>
      </c>
      <c r="E5" s="41">
        <v>6.87</v>
      </c>
      <c r="F5" s="41">
        <v>7.8</v>
      </c>
      <c r="G5" s="41">
        <v>8.94</v>
      </c>
    </row>
    <row r="6" spans="1:7" x14ac:dyDescent="0.3">
      <c r="A6" s="60"/>
      <c r="B6" s="41">
        <v>4.3600000000000003</v>
      </c>
      <c r="C6" s="41">
        <v>4.95</v>
      </c>
      <c r="D6" s="41">
        <v>6.04</v>
      </c>
      <c r="E6" s="41">
        <v>6.96</v>
      </c>
      <c r="F6" s="41">
        <v>7.91</v>
      </c>
      <c r="G6" s="41">
        <v>9.02</v>
      </c>
    </row>
    <row r="7" spans="1:7" x14ac:dyDescent="0.3">
      <c r="A7" s="61"/>
      <c r="B7" s="41">
        <f>SUM(B4:B6)/3</f>
        <v>4.2866666666666662</v>
      </c>
      <c r="C7" s="41">
        <f t="shared" ref="C7:G7" si="0">SUM(C4:C6)/3</f>
        <v>4.93</v>
      </c>
      <c r="D7" s="41">
        <f t="shared" si="0"/>
        <v>5.9899999999999993</v>
      </c>
      <c r="E7" s="41">
        <f t="shared" si="0"/>
        <v>6.8966666666666674</v>
      </c>
      <c r="F7" s="41">
        <f t="shared" si="0"/>
        <v>7.830000000000001</v>
      </c>
      <c r="G7" s="41">
        <f t="shared" si="0"/>
        <v>8.9466666666666672</v>
      </c>
    </row>
    <row r="8" spans="1:7" x14ac:dyDescent="0.3">
      <c r="A8" s="59">
        <f>0.047+0.22*2</f>
        <v>0.48699999999999999</v>
      </c>
      <c r="B8" s="41">
        <v>3.27</v>
      </c>
      <c r="C8" s="41">
        <v>3.52</v>
      </c>
      <c r="D8" s="41">
        <v>4.3600000000000003</v>
      </c>
      <c r="E8" s="41">
        <v>4.99</v>
      </c>
      <c r="F8" s="41">
        <v>5.67</v>
      </c>
      <c r="G8" s="41">
        <v>6.36</v>
      </c>
    </row>
    <row r="9" spans="1:7" x14ac:dyDescent="0.3">
      <c r="A9" s="60"/>
      <c r="B9" s="41">
        <v>3.18</v>
      </c>
      <c r="C9" s="41">
        <v>3.63</v>
      </c>
      <c r="D9" s="41">
        <v>4.3499999999999996</v>
      </c>
      <c r="E9" s="41">
        <v>5.0199999999999996</v>
      </c>
      <c r="F9" s="41">
        <v>5.74</v>
      </c>
      <c r="G9" s="41">
        <v>6.39</v>
      </c>
    </row>
    <row r="10" spans="1:7" x14ac:dyDescent="0.3">
      <c r="A10" s="60"/>
      <c r="B10" s="41">
        <v>3.13</v>
      </c>
      <c r="C10" s="41">
        <v>3.64</v>
      </c>
      <c r="D10" s="41">
        <v>4.17</v>
      </c>
      <c r="E10" s="41">
        <v>4.96</v>
      </c>
      <c r="F10" s="41">
        <v>5.65</v>
      </c>
      <c r="G10" s="41">
        <v>6.37</v>
      </c>
    </row>
    <row r="11" spans="1:7" x14ac:dyDescent="0.3">
      <c r="A11" s="61"/>
      <c r="B11" s="41">
        <f>SUM(B8:B10)/3</f>
        <v>3.1933333333333334</v>
      </c>
      <c r="C11" s="41">
        <f t="shared" ref="C11:G11" si="1">SUM(C8:C10)/3</f>
        <v>3.5966666666666671</v>
      </c>
      <c r="D11" s="41">
        <f t="shared" si="1"/>
        <v>4.2933333333333339</v>
      </c>
      <c r="E11" s="41">
        <f t="shared" si="1"/>
        <v>4.9899999999999993</v>
      </c>
      <c r="F11" s="41">
        <f t="shared" si="1"/>
        <v>5.6866666666666674</v>
      </c>
      <c r="G11" s="41">
        <f t="shared" si="1"/>
        <v>6.373333333333334</v>
      </c>
    </row>
    <row r="12" spans="1:7" x14ac:dyDescent="0.3">
      <c r="A12" s="59">
        <f>0.047+0.22*3</f>
        <v>0.70700000000000007</v>
      </c>
      <c r="B12" s="41">
        <v>2.5099999999999998</v>
      </c>
      <c r="C12" s="41">
        <v>2.94</v>
      </c>
      <c r="D12" s="41">
        <v>3.45</v>
      </c>
      <c r="E12" s="41">
        <v>4.1399999999999997</v>
      </c>
      <c r="F12" s="41">
        <v>4.6399999999999997</v>
      </c>
      <c r="G12" s="41">
        <v>5.24</v>
      </c>
    </row>
    <row r="13" spans="1:7" x14ac:dyDescent="0.3">
      <c r="A13" s="60"/>
      <c r="B13" s="41">
        <v>2.56</v>
      </c>
      <c r="C13" s="41">
        <v>2.93</v>
      </c>
      <c r="D13" s="41">
        <v>3.55</v>
      </c>
      <c r="E13" s="41">
        <v>4.08</v>
      </c>
      <c r="F13" s="41">
        <v>4.75</v>
      </c>
      <c r="G13" s="41">
        <v>5.27</v>
      </c>
    </row>
    <row r="14" spans="1:7" x14ac:dyDescent="0.3">
      <c r="A14" s="60"/>
      <c r="B14" s="41">
        <v>2.5299999999999998</v>
      </c>
      <c r="C14" s="41">
        <v>3.02</v>
      </c>
      <c r="D14" s="41">
        <v>3.49</v>
      </c>
      <c r="E14" s="41">
        <v>4.07</v>
      </c>
      <c r="F14" s="41">
        <v>4.62</v>
      </c>
      <c r="G14" s="41">
        <v>5.28</v>
      </c>
    </row>
    <row r="15" spans="1:7" x14ac:dyDescent="0.3">
      <c r="A15" s="61"/>
      <c r="B15" s="41">
        <f>SUM(B12:B14)/3</f>
        <v>2.5333333333333332</v>
      </c>
      <c r="C15" s="41">
        <f t="shared" ref="C15" si="2">SUM(C12:C14)/3</f>
        <v>2.9633333333333334</v>
      </c>
      <c r="D15" s="41">
        <f t="shared" ref="D15:G15" si="3">SUM(D12:D14)/3</f>
        <v>3.4966666666666666</v>
      </c>
      <c r="E15" s="41">
        <f t="shared" si="3"/>
        <v>4.0966666666666667</v>
      </c>
      <c r="F15" s="41">
        <f t="shared" si="3"/>
        <v>4.6700000000000008</v>
      </c>
      <c r="G15" s="41">
        <f t="shared" si="3"/>
        <v>5.2633333333333328</v>
      </c>
    </row>
    <row r="16" spans="1:7" x14ac:dyDescent="0.3">
      <c r="A16" s="59">
        <f>0.047+0.22*4</f>
        <v>0.92700000000000005</v>
      </c>
      <c r="B16" s="41">
        <v>2.23</v>
      </c>
      <c r="C16" s="41">
        <v>2.59</v>
      </c>
      <c r="D16" s="41">
        <v>3.1</v>
      </c>
      <c r="E16" s="41">
        <v>3.55</v>
      </c>
      <c r="F16" s="41">
        <v>4.0599999999999996</v>
      </c>
      <c r="G16" s="41">
        <v>4.6100000000000003</v>
      </c>
    </row>
    <row r="17" spans="1:7" x14ac:dyDescent="0.3">
      <c r="A17" s="60"/>
      <c r="B17" s="41">
        <v>2.23</v>
      </c>
      <c r="C17" s="41">
        <v>2.59</v>
      </c>
      <c r="D17" s="41">
        <v>3.06</v>
      </c>
      <c r="E17" s="41">
        <v>3.56</v>
      </c>
      <c r="F17" s="41">
        <v>4.01</v>
      </c>
      <c r="G17" s="41">
        <v>4.5599999999999996</v>
      </c>
    </row>
    <row r="18" spans="1:7" x14ac:dyDescent="0.3">
      <c r="A18" s="60"/>
      <c r="B18" s="41">
        <v>2.12</v>
      </c>
      <c r="C18" s="41">
        <v>2.46</v>
      </c>
      <c r="D18" s="41">
        <v>3.09</v>
      </c>
      <c r="E18" s="41">
        <v>3.58</v>
      </c>
      <c r="F18" s="41">
        <v>4.07</v>
      </c>
      <c r="G18" s="41">
        <v>4.68</v>
      </c>
    </row>
    <row r="19" spans="1:7" x14ac:dyDescent="0.3">
      <c r="A19" s="61"/>
      <c r="B19" s="41">
        <f>SUM(B16:B18)/3</f>
        <v>2.1933333333333334</v>
      </c>
      <c r="C19" s="41">
        <f t="shared" ref="C19" si="4">SUM(C16:C18)/3</f>
        <v>2.5466666666666664</v>
      </c>
      <c r="D19" s="41">
        <f t="shared" ref="D19:G19" si="5">SUM(D16:D18)/3</f>
        <v>3.0833333333333335</v>
      </c>
      <c r="E19" s="41">
        <f t="shared" si="5"/>
        <v>3.563333333333333</v>
      </c>
      <c r="F19" s="41">
        <f t="shared" si="5"/>
        <v>4.0466666666666669</v>
      </c>
      <c r="G19" s="41">
        <f t="shared" si="5"/>
        <v>4.6166666666666663</v>
      </c>
    </row>
    <row r="20" spans="1:7" ht="41.4" customHeight="1" x14ac:dyDescent="0.3">
      <c r="A20" s="54" t="s">
        <v>63</v>
      </c>
      <c r="B20" s="54"/>
      <c r="C20" s="54"/>
      <c r="D20" s="54"/>
      <c r="E20" s="54"/>
      <c r="F20" s="42"/>
      <c r="G20" s="42"/>
    </row>
    <row r="21" spans="1:7" ht="15.6" x14ac:dyDescent="0.35">
      <c r="A21" s="40" t="s">
        <v>65</v>
      </c>
      <c r="B21" s="43" t="s">
        <v>67</v>
      </c>
      <c r="C21" s="44" t="s">
        <v>68</v>
      </c>
      <c r="D21" s="45" t="s">
        <v>69</v>
      </c>
      <c r="E21" s="46" t="s">
        <v>11</v>
      </c>
      <c r="F21" s="42"/>
      <c r="G21" s="42"/>
    </row>
    <row r="22" spans="1:7" x14ac:dyDescent="0.3">
      <c r="A22" s="59">
        <v>0.26700000000000002</v>
      </c>
      <c r="B22" s="41">
        <v>4.2866666666666662</v>
      </c>
      <c r="C22" s="41">
        <v>7.6188356967848536E-2</v>
      </c>
      <c r="D22" s="41">
        <v>3.3125372594716755</v>
      </c>
      <c r="E22" s="41">
        <v>5.9713927299860449E-2</v>
      </c>
      <c r="F22" s="42"/>
      <c r="G22" s="42"/>
    </row>
    <row r="23" spans="1:7" x14ac:dyDescent="0.3">
      <c r="A23" s="60"/>
      <c r="B23" s="41">
        <v>4.93</v>
      </c>
      <c r="C23" s="41">
        <v>5.7601553596188425E-2</v>
      </c>
      <c r="D23" s="41">
        <v>2.5044153737473227</v>
      </c>
      <c r="E23" s="41">
        <v>5.982806885936582E-2</v>
      </c>
      <c r="F23" s="42"/>
      <c r="G23" s="42"/>
    </row>
    <row r="24" spans="1:7" x14ac:dyDescent="0.3">
      <c r="A24" s="60"/>
      <c r="B24" s="41">
        <v>5.9899999999999993</v>
      </c>
      <c r="C24" s="41">
        <v>3.901884331426056E-2</v>
      </c>
      <c r="D24" s="41">
        <v>1.6964714484461114</v>
      </c>
      <c r="E24" s="41">
        <v>5.994218528320714E-2</v>
      </c>
      <c r="F24" s="42"/>
      <c r="G24" s="42"/>
    </row>
    <row r="25" spans="1:7" x14ac:dyDescent="0.3">
      <c r="A25" s="60"/>
      <c r="B25" s="41">
        <v>6.8966666666666674</v>
      </c>
      <c r="C25" s="41">
        <v>2.9434018857861947E-2</v>
      </c>
      <c r="D25" s="41">
        <v>1.2797399503418239</v>
      </c>
      <c r="E25" s="41">
        <v>6.0001045690193884E-2</v>
      </c>
      <c r="F25" s="42"/>
      <c r="G25" s="42"/>
    </row>
    <row r="26" spans="1:7" x14ac:dyDescent="0.3">
      <c r="A26" s="60"/>
      <c r="B26" s="41">
        <v>7.830000000000001</v>
      </c>
      <c r="C26" s="41">
        <v>2.2835183798763304E-2</v>
      </c>
      <c r="D26" s="41">
        <v>0.99283407820710023</v>
      </c>
      <c r="E26" s="41">
        <v>6.0041569136291807E-2</v>
      </c>
      <c r="F26" s="42"/>
      <c r="G26" s="42"/>
    </row>
    <row r="27" spans="1:7" x14ac:dyDescent="0.3">
      <c r="A27" s="61"/>
      <c r="B27" s="41">
        <v>8.9466666666666672</v>
      </c>
      <c r="C27" s="41">
        <v>1.7490632794436755E-2</v>
      </c>
      <c r="D27" s="41">
        <v>0.76046229541029375</v>
      </c>
      <c r="E27" s="41">
        <v>6.0074390024009376E-2</v>
      </c>
      <c r="F27" s="42"/>
      <c r="G27" s="42"/>
    </row>
    <row r="28" spans="1:7" x14ac:dyDescent="0.3">
      <c r="A28" s="59">
        <v>0.48699999999999999</v>
      </c>
      <c r="B28" s="41">
        <v>3.1933333333333334</v>
      </c>
      <c r="C28" s="41">
        <v>0.13729019660827838</v>
      </c>
      <c r="D28" s="41">
        <v>5.9691389829686248</v>
      </c>
      <c r="E28" s="41">
        <v>0.10823201250779067</v>
      </c>
      <c r="F28" s="42"/>
      <c r="G28" s="42"/>
    </row>
    <row r="29" spans="1:7" x14ac:dyDescent="0.3">
      <c r="A29" s="60"/>
      <c r="B29" s="41">
        <v>3.5966666666666671</v>
      </c>
      <c r="C29" s="41">
        <v>0.10822501526745747</v>
      </c>
      <c r="D29" s="41">
        <v>4.7054354464111947</v>
      </c>
      <c r="E29" s="41">
        <v>0.10855757160398921</v>
      </c>
      <c r="F29" s="42"/>
      <c r="G29" s="42"/>
    </row>
    <row r="30" spans="1:7" x14ac:dyDescent="0.3">
      <c r="A30" s="60"/>
      <c r="B30" s="41">
        <v>4.2933333333333339</v>
      </c>
      <c r="C30" s="41">
        <v>7.5951930866864678E-2</v>
      </c>
      <c r="D30" s="41">
        <v>3.3022578637767253</v>
      </c>
      <c r="E30" s="41">
        <v>0.10891906242236025</v>
      </c>
      <c r="F30" s="42"/>
      <c r="G30" s="42"/>
    </row>
    <row r="31" spans="1:7" x14ac:dyDescent="0.3">
      <c r="A31" s="60"/>
      <c r="B31" s="41">
        <v>4.9899999999999993</v>
      </c>
      <c r="C31" s="41">
        <v>5.6224673796490786E-2</v>
      </c>
      <c r="D31" s="41">
        <v>2.4445510346300341</v>
      </c>
      <c r="E31" s="41">
        <v>0.10914002742880551</v>
      </c>
      <c r="F31" s="42"/>
      <c r="G31" s="42"/>
    </row>
    <row r="32" spans="1:7" x14ac:dyDescent="0.3">
      <c r="A32" s="60"/>
      <c r="B32" s="41">
        <v>5.6866666666666674</v>
      </c>
      <c r="C32" s="41">
        <v>4.3292482638340082E-2</v>
      </c>
      <c r="D32" s="41">
        <v>1.8822818538408732</v>
      </c>
      <c r="E32" s="41">
        <v>0.10928488090196795</v>
      </c>
      <c r="F32" s="42"/>
      <c r="G32" s="42"/>
    </row>
    <row r="33" spans="1:7" x14ac:dyDescent="0.3">
      <c r="A33" s="61"/>
      <c r="B33" s="41">
        <v>6.373333333333334</v>
      </c>
      <c r="C33" s="41">
        <v>3.4466308362948818E-2</v>
      </c>
      <c r="D33" s="41">
        <v>1.4985351462151659</v>
      </c>
      <c r="E33" s="41">
        <v>0.1093837428800266</v>
      </c>
      <c r="F33" s="42"/>
      <c r="G33" s="42"/>
    </row>
    <row r="34" spans="1:7" x14ac:dyDescent="0.3">
      <c r="A34" s="59">
        <v>0.70700000000000007</v>
      </c>
      <c r="B34" s="41">
        <v>2.5333333333333332</v>
      </c>
      <c r="C34" s="41">
        <v>0.21814404432132964</v>
      </c>
      <c r="D34" s="41">
        <v>9.4845236661447672</v>
      </c>
      <c r="E34" s="41">
        <v>0.1558105596952909</v>
      </c>
      <c r="F34" s="42"/>
      <c r="G34" s="42"/>
    </row>
    <row r="35" spans="1:7" x14ac:dyDescent="0.3">
      <c r="A35" s="60"/>
      <c r="B35" s="41">
        <v>2.9633333333333334</v>
      </c>
      <c r="C35" s="41">
        <v>0.15942889028635199</v>
      </c>
      <c r="D35" s="41">
        <v>6.931690882015304</v>
      </c>
      <c r="E35" s="41">
        <v>0.15676532681505367</v>
      </c>
      <c r="F35" s="42"/>
      <c r="G35" s="42"/>
    </row>
    <row r="36" spans="1:7" x14ac:dyDescent="0.3">
      <c r="A36" s="60"/>
      <c r="B36" s="41">
        <v>3.4966666666666666</v>
      </c>
      <c r="C36" s="41">
        <v>0.11450371273744753</v>
      </c>
      <c r="D36" s="41">
        <v>4.9784222929325015</v>
      </c>
      <c r="E36" s="41">
        <v>0.1574958551271764</v>
      </c>
      <c r="F36" s="42"/>
      <c r="G36" s="42"/>
    </row>
    <row r="37" spans="1:7" x14ac:dyDescent="0.3">
      <c r="A37" s="60"/>
      <c r="B37" s="41">
        <v>4.0966666666666667</v>
      </c>
      <c r="C37" s="41">
        <v>8.3419345740747233E-2</v>
      </c>
      <c r="D37" s="41">
        <v>3.6269280756846625</v>
      </c>
      <c r="E37" s="41">
        <v>0.15800131801890974</v>
      </c>
      <c r="F37" s="42"/>
      <c r="G37" s="42"/>
    </row>
    <row r="38" spans="1:7" x14ac:dyDescent="0.3">
      <c r="A38" s="60"/>
      <c r="B38" s="41">
        <v>4.6700000000000008</v>
      </c>
      <c r="C38" s="41">
        <v>6.4193975853894483E-2</v>
      </c>
      <c r="D38" s="41">
        <v>2.7910424284301949</v>
      </c>
      <c r="E38" s="41">
        <v>0.15831394175863983</v>
      </c>
      <c r="F38" s="42"/>
      <c r="G38" s="42"/>
    </row>
    <row r="39" spans="1:7" x14ac:dyDescent="0.3">
      <c r="A39" s="61"/>
      <c r="B39" s="41">
        <v>5.2633333333333328</v>
      </c>
      <c r="C39" s="41">
        <v>5.0536630835125856E-2</v>
      </c>
      <c r="D39" s="41">
        <v>2.1972448189185156</v>
      </c>
      <c r="E39" s="41">
        <v>0.15853602384599005</v>
      </c>
      <c r="F39" s="42"/>
      <c r="G39" s="42"/>
    </row>
    <row r="40" spans="1:7" x14ac:dyDescent="0.3">
      <c r="A40" s="62">
        <v>0.92700000000000005</v>
      </c>
      <c r="B40" s="41">
        <v>2.1933333333333334</v>
      </c>
      <c r="C40" s="41">
        <v>0.29101726702451008</v>
      </c>
      <c r="D40" s="41">
        <v>12.65292465323957</v>
      </c>
      <c r="E40" s="41">
        <v>0.20274102084977044</v>
      </c>
      <c r="F40" s="42"/>
      <c r="G40" s="42"/>
    </row>
    <row r="41" spans="1:7" x14ac:dyDescent="0.3">
      <c r="A41" s="62"/>
      <c r="B41" s="41">
        <v>2.5466666666666664</v>
      </c>
      <c r="C41" s="41">
        <v>0.21586579315259999</v>
      </c>
      <c r="D41" s="41">
        <v>9.3854692675043481</v>
      </c>
      <c r="E41" s="41">
        <v>0.20434332542419342</v>
      </c>
      <c r="F41" s="42"/>
      <c r="G41" s="42"/>
    </row>
    <row r="42" spans="1:7" x14ac:dyDescent="0.3">
      <c r="A42" s="62"/>
      <c r="B42" s="41">
        <v>3.0833333333333335</v>
      </c>
      <c r="C42" s="41">
        <v>0.14726077428780129</v>
      </c>
      <c r="D42" s="41">
        <v>6.4026423603391871</v>
      </c>
      <c r="E42" s="41">
        <v>0.20580605303140981</v>
      </c>
      <c r="F42" s="42"/>
      <c r="G42" s="42"/>
    </row>
    <row r="43" spans="1:7" x14ac:dyDescent="0.3">
      <c r="A43" s="62"/>
      <c r="B43" s="41">
        <v>3.563333333333333</v>
      </c>
      <c r="C43" s="41">
        <v>0.11025927556155662</v>
      </c>
      <c r="D43" s="41">
        <v>4.793881546154636</v>
      </c>
      <c r="E43" s="41">
        <v>0.20659496198575206</v>
      </c>
      <c r="F43" s="42"/>
      <c r="G43" s="42"/>
    </row>
    <row r="44" spans="1:7" x14ac:dyDescent="0.3">
      <c r="A44" s="62"/>
      <c r="B44" s="41">
        <v>4.0466666666666669</v>
      </c>
      <c r="C44" s="41">
        <v>8.5493514706241558E-2</v>
      </c>
      <c r="D44" s="41">
        <v>3.7171093350539808</v>
      </c>
      <c r="E44" s="41">
        <v>0.20712299277294824</v>
      </c>
      <c r="F44" s="42"/>
      <c r="G44" s="42"/>
    </row>
    <row r="45" spans="1:7" x14ac:dyDescent="0.3">
      <c r="A45" s="62"/>
      <c r="B45" s="41">
        <v>4.6166666666666663</v>
      </c>
      <c r="C45" s="41">
        <v>6.5685725084387928E-2</v>
      </c>
      <c r="D45" s="41">
        <v>2.855901090625562</v>
      </c>
      <c r="E45" s="41">
        <v>0.20754531465547579</v>
      </c>
      <c r="F45" s="42"/>
      <c r="G45" s="42"/>
    </row>
    <row r="46" spans="1:7" x14ac:dyDescent="0.3">
      <c r="A46" s="49"/>
      <c r="B46" s="50"/>
      <c r="C46" s="50"/>
      <c r="D46" s="50"/>
      <c r="E46" s="50"/>
      <c r="F46" s="42"/>
      <c r="G46" s="42"/>
    </row>
    <row r="47" spans="1:7" x14ac:dyDescent="0.3">
      <c r="A47" s="55" t="s">
        <v>66</v>
      </c>
      <c r="B47" s="55"/>
      <c r="C47" s="55"/>
      <c r="D47" s="55"/>
      <c r="E47" s="55"/>
      <c r="F47" s="55"/>
      <c r="G47" s="55"/>
    </row>
    <row r="48" spans="1:7" x14ac:dyDescent="0.3">
      <c r="A48" s="47" t="s">
        <v>51</v>
      </c>
      <c r="B48" s="48">
        <v>1</v>
      </c>
      <c r="C48" s="48">
        <v>2</v>
      </c>
      <c r="D48" s="48">
        <v>3</v>
      </c>
      <c r="E48" s="48">
        <v>4</v>
      </c>
      <c r="F48" s="48">
        <v>5</v>
      </c>
      <c r="G48" s="48">
        <v>6</v>
      </c>
    </row>
    <row r="49" spans="1:7" x14ac:dyDescent="0.3">
      <c r="A49" s="47" t="s">
        <v>64</v>
      </c>
      <c r="B49" s="46">
        <v>7.6999999999999999E-2</v>
      </c>
      <c r="C49" s="46">
        <v>0.10200000000000001</v>
      </c>
      <c r="D49" s="46">
        <v>0.127</v>
      </c>
      <c r="E49" s="46">
        <v>0.152</v>
      </c>
      <c r="F49" s="46">
        <v>0.17699999999999999</v>
      </c>
      <c r="G49" s="46">
        <v>0.20199999999999999</v>
      </c>
    </row>
    <row r="50" spans="1:7" ht="15" x14ac:dyDescent="0.3">
      <c r="A50" s="47" t="s">
        <v>70</v>
      </c>
      <c r="B50" s="46">
        <v>5.9290000000000002E-3</v>
      </c>
      <c r="C50" s="46">
        <v>1.0404000000000002E-2</v>
      </c>
      <c r="D50" s="46">
        <v>1.6129000000000001E-2</v>
      </c>
      <c r="E50" s="46">
        <v>2.3104E-2</v>
      </c>
      <c r="F50" s="46">
        <v>3.1328999999999996E-2</v>
      </c>
      <c r="G50" s="46">
        <v>4.0803999999999993E-2</v>
      </c>
    </row>
    <row r="51" spans="1:7" ht="15" x14ac:dyDescent="0.3">
      <c r="A51" s="47" t="s">
        <v>71</v>
      </c>
      <c r="B51" s="41">
        <v>1.5068213537674789E-2</v>
      </c>
      <c r="C51" s="41">
        <v>2.1048078241893361E-2</v>
      </c>
      <c r="D51" s="41">
        <v>3.0749652241374853E-2</v>
      </c>
      <c r="E51" s="41">
        <v>4.1675635135226742E-2</v>
      </c>
      <c r="F51" s="41">
        <v>5.3980073805964597E-2</v>
      </c>
      <c r="G51" s="41">
        <v>7.0331102837393106E-2</v>
      </c>
    </row>
  </sheetData>
  <mergeCells count="13">
    <mergeCell ref="A1:G1"/>
    <mergeCell ref="A20:E20"/>
    <mergeCell ref="A47:G47"/>
    <mergeCell ref="B2:G2"/>
    <mergeCell ref="A4:A7"/>
    <mergeCell ref="A8:A11"/>
    <mergeCell ref="A12:A15"/>
    <mergeCell ref="A16:A19"/>
    <mergeCell ref="A22:A27"/>
    <mergeCell ref="A28:A33"/>
    <mergeCell ref="A34:A39"/>
    <mergeCell ref="A40:A45"/>
    <mergeCell ref="A2:A3"/>
  </mergeCells>
  <pageMargins left="0.23622047244094491" right="0.23622047244094491" top="7.874015748031496E-2" bottom="0.15748031496062992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  <pageSetUpPr fitToPage="1"/>
  </sheetPr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9" scale="81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/>
  </sheetPr>
  <dimension ref="A1:E2"/>
  <sheetViews>
    <sheetView zoomScale="87" workbookViewId="0">
      <selection activeCell="B2" sqref="B2"/>
    </sheetView>
  </sheetViews>
  <sheetFormatPr defaultRowHeight="14.4" x14ac:dyDescent="0.3"/>
  <sheetData>
    <row r="1" spans="1:5" ht="15.6" x14ac:dyDescent="0.35">
      <c r="A1" s="2" t="s">
        <v>12</v>
      </c>
      <c r="B1" s="2" t="s">
        <v>13</v>
      </c>
      <c r="C1" s="2" t="s">
        <v>49</v>
      </c>
      <c r="D1" s="2" t="s">
        <v>50</v>
      </c>
      <c r="E1" s="2" t="s">
        <v>26</v>
      </c>
    </row>
    <row r="2" spans="1:5" x14ac:dyDescent="0.3">
      <c r="A2" s="12">
        <v>0.7</v>
      </c>
      <c r="B2" s="12">
        <v>4.5999999999999999E-2</v>
      </c>
      <c r="C2" s="2">
        <v>5.7000000000000002E-2</v>
      </c>
      <c r="D2" s="2">
        <v>2.5000000000000001E-2</v>
      </c>
      <c r="E2" s="2"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/>
  </sheetPr>
  <dimension ref="A1:N4"/>
  <sheetViews>
    <sheetView workbookViewId="0">
      <selection activeCell="E27" sqref="E27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1'!B3</f>
        <v>5.94</v>
      </c>
      <c r="B2">
        <f>(A2-$H$2)*(A2-$H$2)</f>
        <v>9.0000000000001494E-4</v>
      </c>
      <c r="H2">
        <f>SUM(A:A)/COUNT(A:A)</f>
        <v>5.91</v>
      </c>
      <c r="I2">
        <f>SQRT(SUM(B:B)/COUNT(A:A)/(COUNT(A:A)-1))</f>
        <v>4.0414518843273822E-2</v>
      </c>
      <c r="J2">
        <v>0.95</v>
      </c>
      <c r="K2">
        <f>J2*I2</f>
        <v>3.8393792901110127E-2</v>
      </c>
      <c r="L2">
        <v>1</v>
      </c>
      <c r="M2">
        <f>SQRT(K2*K2+(2/3*L2)*(2/3*L2))</f>
        <v>0.66777131398239753</v>
      </c>
      <c r="N2" s="31">
        <f>M2/H2</f>
        <v>0.112990070047783</v>
      </c>
    </row>
    <row r="3" spans="1:14" x14ac:dyDescent="0.3">
      <c r="A3" s="18">
        <f>'Таблица 1'!B4</f>
        <v>5.83</v>
      </c>
      <c r="B3">
        <f t="shared" ref="B3:B4" si="0">(A3-$H$2)*(A3-$H$2)</f>
        <v>6.4000000000000116E-3</v>
      </c>
    </row>
    <row r="4" spans="1:14" x14ac:dyDescent="0.3">
      <c r="A4" s="18">
        <f>'Таблица 1'!B5</f>
        <v>5.96</v>
      </c>
      <c r="B4">
        <f t="shared" si="0"/>
        <v>2.4999999999999823E-3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N7"/>
  <sheetViews>
    <sheetView topLeftCell="M1" workbookViewId="0">
      <selection activeCell="F6" sqref="F6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51">
        <f>'Таблица 2'!C3</f>
        <v>4.00823405796479E-2</v>
      </c>
      <c r="B2" s="51">
        <f>(A2-$H$2)*(A2-$H$2)</f>
        <v>9.9487232338725829E-6</v>
      </c>
      <c r="H2" s="18">
        <f>SUM(A:A)/COUNT(A:A)</f>
        <v>3.6928180908059827E-2</v>
      </c>
      <c r="I2" s="18">
        <f>SQRT(SUM(B:B)/COUNT(A:A)/(COUNT(A:A)-1))</f>
        <v>6.123823942689512E-3</v>
      </c>
      <c r="J2" s="18">
        <v>0.95</v>
      </c>
      <c r="K2" s="18">
        <f>J2*I2</f>
        <v>5.8176327455550358E-3</v>
      </c>
      <c r="L2" s="18">
        <v>1</v>
      </c>
      <c r="M2" s="18">
        <f>SQRT(K2*K2+(2/3*L2)*(2/3*L2))</f>
        <v>0.66669204982150987</v>
      </c>
      <c r="N2" s="31">
        <f>M2/H2</f>
        <v>18.053747393660537</v>
      </c>
    </row>
    <row r="3" spans="1:14" x14ac:dyDescent="0.3">
      <c r="A3" s="51">
        <f>'Таблица 2'!C4</f>
        <v>6.0094319465217781E-2</v>
      </c>
      <c r="B3" s="51">
        <f t="shared" ref="B3:B7" si="0">(A3-$H$2)*(A3-$H$2)</f>
        <v>5.366699756494404E-4</v>
      </c>
    </row>
    <row r="4" spans="1:14" x14ac:dyDescent="0.3">
      <c r="A4" s="51">
        <f>'Таблица 2'!C5</f>
        <v>4.6168999056100446E-2</v>
      </c>
      <c r="B4" s="51">
        <f t="shared" si="0"/>
        <v>8.5392720045156866E-5</v>
      </c>
    </row>
    <row r="5" spans="1:14" x14ac:dyDescent="0.3">
      <c r="A5" s="51">
        <f>'Таблица 2'!C6</f>
        <v>3.1468523609259842E-2</v>
      </c>
      <c r="B5" s="51">
        <f>(A5-$H$2)*(A5-$H$2)</f>
        <v>2.9807857820339943E-5</v>
      </c>
    </row>
    <row r="6" spans="1:14" x14ac:dyDescent="0.3">
      <c r="A6" s="51">
        <f>'Таблица 2'!C7</f>
        <v>2.4132267810714914E-2</v>
      </c>
      <c r="B6" s="51">
        <f t="shared" si="0"/>
        <v>1.6373539199480308E-4</v>
      </c>
    </row>
    <row r="7" spans="1:14" x14ac:dyDescent="0.3">
      <c r="A7" s="51">
        <f>'Таблица 2'!C8</f>
        <v>1.9622634927418049E-2</v>
      </c>
      <c r="B7" s="51">
        <f t="shared" si="0"/>
        <v>2.9948192168810679E-4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G9"/>
  <sheetViews>
    <sheetView workbookViewId="0">
      <selection activeCell="B4" sqref="B4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t="s">
        <v>27</v>
      </c>
    </row>
    <row r="2" spans="1:7" ht="43.2" x14ac:dyDescent="0.3">
      <c r="A2" s="32" t="s">
        <v>38</v>
      </c>
      <c r="B2" s="28">
        <f>-4*'Параметры установки'!A2/'Погрешности прямые (t)'!H2/'Погрешности прямые (t)'!H2/'Погрешности прямые (t)'!H2</f>
        <v>-1.3564243850980677E-2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40</v>
      </c>
      <c r="B4" s="35">
        <f>2*'Параметры установки'!A2/'Погрешности прямые (t)'!H2/'Погрешности прямые (t)'!H2</f>
        <v>4.00823405796479E-2</v>
      </c>
    </row>
    <row r="5" spans="1:7" ht="28.8" x14ac:dyDescent="0.3">
      <c r="A5" s="32" t="s">
        <v>43</v>
      </c>
      <c r="B5" s="18">
        <f>'Погрешности прямые (t)'!M2</f>
        <v>0.66777131398239753</v>
      </c>
    </row>
    <row r="6" spans="1:7" ht="28.8" x14ac:dyDescent="0.3">
      <c r="A6" s="32" t="s">
        <v>46</v>
      </c>
      <c r="B6" s="31">
        <f>'Погрешности прямые (t)'!N2</f>
        <v>0.112990070047783</v>
      </c>
    </row>
    <row r="7" spans="1:7" x14ac:dyDescent="0.3">
      <c r="A7" s="32" t="s">
        <v>44</v>
      </c>
      <c r="B7">
        <f>B5*B5*B2*B2</f>
        <v>8.2043975247825477E-5</v>
      </c>
    </row>
    <row r="8" spans="1:7" ht="28.8" x14ac:dyDescent="0.3">
      <c r="A8" s="32" t="s">
        <v>39</v>
      </c>
      <c r="B8">
        <f>SQRT(SUM(7:7))</f>
        <v>9.0578129395470219E-3</v>
      </c>
    </row>
    <row r="9" spans="1:7" ht="28.8" x14ac:dyDescent="0.3">
      <c r="A9" s="32" t="s">
        <v>47</v>
      </c>
      <c r="B9" s="31">
        <f>B8/B4</f>
        <v>0.225980140095566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N8"/>
  <sheetViews>
    <sheetView workbookViewId="0">
      <selection activeCell="A6" sqref="A6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2'!D3</f>
        <v>1.7427104599846914</v>
      </c>
      <c r="B2" s="18">
        <f>(A2-$H$2)*(A2-$H$2)</f>
        <v>1.8806660177452951E-2</v>
      </c>
      <c r="H2" s="18">
        <f>SUM(A:A)/COUNT(A:A)</f>
        <v>1.6055730829591228</v>
      </c>
      <c r="I2" s="18">
        <f>SQRT(SUM(B:B)/COUNT(A:A)/(COUNT(A:A)-1))</f>
        <v>0.26625321489954401</v>
      </c>
      <c r="J2" s="18">
        <v>0.95</v>
      </c>
      <c r="K2" s="18">
        <f>J2*I2</f>
        <v>0.25294055415456679</v>
      </c>
      <c r="L2" s="18">
        <v>1</v>
      </c>
      <c r="M2" s="18">
        <f>SQRT(K2*K2+(2/3*L2)*(2/3*L2))</f>
        <v>0.71303812547469281</v>
      </c>
      <c r="N2" s="31">
        <f>M2/H2</f>
        <v>0.44410194281567089</v>
      </c>
    </row>
    <row r="3" spans="1:14" x14ac:dyDescent="0.3">
      <c r="A3" s="18">
        <f>'Таблица 2'!D4</f>
        <v>2.6127964984877297</v>
      </c>
      <c r="B3" s="18">
        <f t="shared" ref="B3:B7" si="0">(A3-$H$2)*(A3-$H$2)</f>
        <v>1.0144990087891126</v>
      </c>
    </row>
    <row r="4" spans="1:14" x14ac:dyDescent="0.3">
      <c r="A4" s="18">
        <f>'Таблица 2'!D5</f>
        <v>2.0073477850478456</v>
      </c>
      <c r="B4" s="18">
        <f t="shared" si="0"/>
        <v>0.16142291123848196</v>
      </c>
    </row>
    <row r="5" spans="1:14" x14ac:dyDescent="0.3">
      <c r="A5" s="18">
        <f>'Таблица 2'!D6</f>
        <v>1.3681966786634714</v>
      </c>
      <c r="B5" s="18">
        <f t="shared" si="0"/>
        <v>5.6347557316332564E-2</v>
      </c>
    </row>
    <row r="6" spans="1:14" x14ac:dyDescent="0.3">
      <c r="A6" s="18">
        <f>'Таблица 2'!D7</f>
        <v>1.0492290352484746</v>
      </c>
      <c r="B6" s="18">
        <f t="shared" si="0"/>
        <v>0.30951869942306809</v>
      </c>
    </row>
    <row r="7" spans="1:14" x14ac:dyDescent="0.3">
      <c r="A7" s="18">
        <f>'Таблица 2'!D8</f>
        <v>0.85315804032252385</v>
      </c>
      <c r="B7" s="18">
        <f t="shared" si="0"/>
        <v>0.56612839638583501</v>
      </c>
    </row>
    <row r="8" spans="1:14" x14ac:dyDescent="0.3">
      <c r="A8" s="18"/>
      <c r="B8" s="18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G9"/>
  <sheetViews>
    <sheetView workbookViewId="0">
      <selection activeCell="B8" sqref="B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s="29" t="s">
        <v>45</v>
      </c>
    </row>
    <row r="2" spans="1:7" ht="43.2" x14ac:dyDescent="0.3">
      <c r="A2" s="32" t="s">
        <v>38</v>
      </c>
      <c r="B2" s="28">
        <f>-8*'Параметры установки'!A2/'Параметры установки'!B2/'Погрешности прямые (t)'!H2/'Погрешности прямые (t)'!H2/'Погрешности прямые (t)'!H2</f>
        <v>-0.58974973265133379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40</v>
      </c>
      <c r="B4">
        <f>4*'Параметры установки'!A2/'Параметры установки'!B2/'Погрешности прямые (t)'!H2/'Погрешности прямые (t)'!H2</f>
        <v>1.7427104599846914</v>
      </c>
    </row>
    <row r="5" spans="1:7" ht="28.8" x14ac:dyDescent="0.3">
      <c r="A5" s="32" t="s">
        <v>43</v>
      </c>
      <c r="B5" s="18">
        <f>'Погрешности прямые (t)'!M2</f>
        <v>0.66777131398239753</v>
      </c>
    </row>
    <row r="6" spans="1:7" ht="28.8" x14ac:dyDescent="0.3">
      <c r="A6" s="32" t="s">
        <v>46</v>
      </c>
      <c r="B6" s="31">
        <f>'Погрешности прямые (t)'!N2</f>
        <v>0.112990070047783</v>
      </c>
    </row>
    <row r="7" spans="1:7" x14ac:dyDescent="0.3">
      <c r="A7" s="32" t="s">
        <v>44</v>
      </c>
      <c r="B7">
        <f>B5*B5*B2*B2</f>
        <v>0.1550925808087438</v>
      </c>
    </row>
    <row r="8" spans="1:7" ht="28.8" x14ac:dyDescent="0.3">
      <c r="A8" s="32" t="s">
        <v>39</v>
      </c>
      <c r="B8">
        <f>SQRT(SUM(7:7))</f>
        <v>0.39381795389334878</v>
      </c>
    </row>
    <row r="9" spans="1:7" ht="28.8" x14ac:dyDescent="0.3">
      <c r="A9" s="32" t="s">
        <v>47</v>
      </c>
      <c r="B9" s="31">
        <f>B8/B4</f>
        <v>0.22598014009556597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N7"/>
  <sheetViews>
    <sheetView topLeftCell="C1" workbookViewId="0">
      <selection activeCell="H2" sqref="H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2'!E3</f>
        <v>5.9935654346500389E-2</v>
      </c>
      <c r="B2" s="18">
        <f>(A2-$H$2)*(A2-$H$2)</f>
        <v>3.7518506669790754E-10</v>
      </c>
      <c r="H2" s="18">
        <f>SUM(A:A)/COUNT(A:A)</f>
        <v>5.9955024041043616E-2</v>
      </c>
      <c r="I2" s="18">
        <f>SQRT(SUM(B:B)/COUNT(A:A)/(COUNT(A:A)-1))</f>
        <v>3.7606402832056251E-5</v>
      </c>
      <c r="J2" s="18">
        <v>0.95</v>
      </c>
      <c r="K2" s="18">
        <f>J2*I2</f>
        <v>3.5726082690453439E-5</v>
      </c>
      <c r="L2" s="18">
        <v>1</v>
      </c>
      <c r="M2" s="18">
        <f>SQRT(K2*K2+(2/3*L2)*(2/3*L2))</f>
        <v>0.66666666762393134</v>
      </c>
      <c r="N2" s="31">
        <f>M2/H2</f>
        <v>11.119446256372928</v>
      </c>
    </row>
    <row r="3" spans="1:14" x14ac:dyDescent="0.3">
      <c r="A3" s="18">
        <f>'Таблица 2'!E4</f>
        <v>5.9812760784164108E-2</v>
      </c>
      <c r="B3" s="18">
        <f t="shared" ref="B3:B7" si="0">(A3-$H$2)*(A3-$H$2)</f>
        <v>2.0238834257964698E-8</v>
      </c>
    </row>
    <row r="4" spans="1:14" x14ac:dyDescent="0.3">
      <c r="A4" s="18">
        <f>'Таблица 2'!E5</f>
        <v>5.9898276176796501E-2</v>
      </c>
      <c r="B4" s="18">
        <f t="shared" si="0"/>
        <v>3.2203200966089019E-9</v>
      </c>
    </row>
    <row r="5" spans="1:14" x14ac:dyDescent="0.3">
      <c r="A5" s="18">
        <f>'Таблица 2'!E6</f>
        <v>5.9988551796515549E-2</v>
      </c>
      <c r="B5" s="18">
        <f t="shared" si="0"/>
        <v>1.1241103869857657E-9</v>
      </c>
    </row>
    <row r="6" spans="1:14" x14ac:dyDescent="0.3">
      <c r="A6" s="18">
        <f>'Таблица 2'!E7</f>
        <v>6.0033603743374409E-2</v>
      </c>
      <c r="B6" s="18">
        <f t="shared" si="0"/>
        <v>6.1747696183960312E-9</v>
      </c>
    </row>
    <row r="7" spans="1:14" x14ac:dyDescent="0.3">
      <c r="A7" s="18">
        <f>'Таблица 2'!E8</f>
        <v>6.0061297398910737E-2</v>
      </c>
      <c r="B7" s="18">
        <f t="shared" si="0"/>
        <v>1.1294026592353346E-8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G9"/>
  <sheetViews>
    <sheetView workbookViewId="0">
      <selection activeCell="B4" sqref="B4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t="s">
        <v>48</v>
      </c>
    </row>
    <row r="2" spans="1:7" ht="43.2" x14ac:dyDescent="0.3">
      <c r="A2" s="32" t="s">
        <v>38</v>
      </c>
      <c r="B2" s="28">
        <f>2*'Таблица 2'!A3*'Параметры установки'!B2*'Параметры установки'!A2/'Погрешности прямые (t)'!H2/'Погрешности прямые (t)'!H2/'Погрешности прямые (t)'!H2</f>
        <v>8.3298021488872342E-5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40</v>
      </c>
      <c r="B4">
        <f>'Таблица 2'!A3*'Параметры установки'!B2/2*(9.82-2*'Параметры установки'!A2/'Погрешности прямые (t)'!H2/'Погрешности прямые (t)'!H2)</f>
        <v>6.0058474346500391E-2</v>
      </c>
    </row>
    <row r="5" spans="1:7" ht="28.8" x14ac:dyDescent="0.3">
      <c r="A5" s="32" t="s">
        <v>43</v>
      </c>
      <c r="B5">
        <f>'Погрешности прямые (t)'!M2</f>
        <v>0.66777131398239753</v>
      </c>
    </row>
    <row r="6" spans="1:7" ht="28.8" x14ac:dyDescent="0.3">
      <c r="A6" s="32" t="s">
        <v>46</v>
      </c>
      <c r="B6" s="31">
        <f>'Погрешности прямые (t)'!N2</f>
        <v>0.112990070047783</v>
      </c>
    </row>
    <row r="7" spans="1:7" x14ac:dyDescent="0.3">
      <c r="A7" s="32" t="s">
        <v>44</v>
      </c>
      <c r="B7">
        <f>B5*B5*B2*B2</f>
        <v>3.0940326313129402E-9</v>
      </c>
    </row>
    <row r="8" spans="1:7" ht="28.8" x14ac:dyDescent="0.3">
      <c r="A8" s="32" t="s">
        <v>39</v>
      </c>
      <c r="B8">
        <f>SQRT(SUM(7:7))</f>
        <v>5.5624029261758267E-5</v>
      </c>
    </row>
    <row r="9" spans="1:7" ht="28.8" x14ac:dyDescent="0.3">
      <c r="A9" s="32" t="s">
        <v>47</v>
      </c>
      <c r="B9" s="31">
        <f>B8/B3</f>
        <v>9.4118492828694184E-6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R23"/>
  <sheetViews>
    <sheetView topLeftCell="M1" zoomScaleNormal="100" workbookViewId="0">
      <selection activeCell="N2" sqref="N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2'!D3</f>
        <v>1.7427104599846914</v>
      </c>
      <c r="B2" s="14">
        <f>'Таблица 2'!E3</f>
        <v>5.9935654346500389E-2</v>
      </c>
      <c r="C2" s="38">
        <f>(A2-$L$2)*(A2-$L$2)</f>
        <v>34.111325191725058</v>
      </c>
      <c r="D2" s="37">
        <f>(B2-$M$2)*(B2-$M$2)</f>
        <v>5.1477238787811918E-3</v>
      </c>
      <c r="E2" s="16">
        <f>A2-$L$2</f>
        <v>-5.8404901499553148</v>
      </c>
      <c r="F2" s="14">
        <f>B2-$M$2</f>
        <v>-7.1747640231447279E-2</v>
      </c>
      <c r="G2" s="39">
        <f>E2*F2</f>
        <v>0.41904138605430552</v>
      </c>
      <c r="H2" s="18">
        <f>B2-($O$2+$N$2*A2)</f>
        <v>7.7709220557872841E-3</v>
      </c>
      <c r="I2" s="36">
        <f>H2*H2</f>
        <v>6.0387229597121266E-5</v>
      </c>
      <c r="J2" s="24">
        <f>SQRT(4*$R$2+4*$Q$2*A2*A2)</f>
        <v>3.7186377266833867E-2</v>
      </c>
      <c r="K2" s="18"/>
      <c r="L2" s="18">
        <f>SUM(A:A)/COUNT(A:A)</f>
        <v>7.5832006099400058</v>
      </c>
      <c r="M2" s="18">
        <f>SUM(B:B)/COUNT(B:B)</f>
        <v>0.13168329457794767</v>
      </c>
      <c r="N2" s="18">
        <f>SUM(G:G)/SUM(C:C)</f>
        <v>1.3615049464271925E-2</v>
      </c>
      <c r="O2" s="18">
        <f>M2-N2*L2</f>
        <v>2.8437643176117453E-2</v>
      </c>
      <c r="P2" s="18">
        <f>SUM(C:C)</f>
        <v>58.54326524826616</v>
      </c>
      <c r="Q2" s="35">
        <f>1/P2*SUM(I:I)/(COUNT(I:I)-2)</f>
        <v>4.5985213827673991E-6</v>
      </c>
      <c r="R2" s="35">
        <f>(1/COUNT(I:I)+L2*L2/P2)*SUM(I:I)/(COUNT(I:I)-2)</f>
        <v>3.3174077133936691E-4</v>
      </c>
    </row>
    <row r="3" spans="1:18" ht="16.8" thickTop="1" thickBot="1" x14ac:dyDescent="0.35">
      <c r="A3" s="13">
        <f>'Таблица 2'!D9</f>
        <v>6.7333258803609839</v>
      </c>
      <c r="B3" s="14">
        <f>'Таблица 2'!E9</f>
        <v>0.10803514038672375</v>
      </c>
      <c r="C3" s="38">
        <f t="shared" ref="C3:C5" si="0">(A3-$L$2)*(A3-$L$2)</f>
        <v>0.72228705597701559</v>
      </c>
      <c r="D3" s="37">
        <f t="shared" ref="D3:D5" si="1">(B3-$M$2)*(B3-$M$2)</f>
        <v>5.592351966519013E-4</v>
      </c>
      <c r="E3" s="20">
        <f>A3-$L$2</f>
        <v>-0.84987472957902188</v>
      </c>
      <c r="F3" s="14">
        <f>B3-$M$2</f>
        <v>-2.3648154191223916E-2</v>
      </c>
      <c r="G3" s="39">
        <f>E3*F3</f>
        <v>2.0097968648309438E-2</v>
      </c>
      <c r="H3" s="18">
        <f>B3-($O$2+$N$2*A3)</f>
        <v>-1.2077067709570802E-2</v>
      </c>
      <c r="I3" s="37">
        <f>H3*H3</f>
        <v>1.4585556446155773E-4</v>
      </c>
      <c r="J3" s="17">
        <f t="shared" ref="J3:J5" si="2">SQRT(4*$R$2+4*$Q$2*A3*A3)</f>
        <v>4.6485569819439673E-2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2'!D15</f>
        <v>10.113164707816225</v>
      </c>
      <c r="B4" s="14">
        <f>'Таблица 2'!E15</f>
        <v>0.15557544605978257</v>
      </c>
      <c r="C4" s="38">
        <f t="shared" si="0"/>
        <v>6.4007183365426297</v>
      </c>
      <c r="D4" s="37">
        <f t="shared" si="1"/>
        <v>5.7083490243094593E-4</v>
      </c>
      <c r="E4" s="20">
        <f t="shared" ref="E4:E5" si="3">A4-$L$2</f>
        <v>2.5299640978762188</v>
      </c>
      <c r="F4" s="14">
        <f t="shared" ref="F4:F5" si="4">B4-$M$2</f>
        <v>2.3892151481834906E-2</v>
      </c>
      <c r="G4" s="39">
        <f t="shared" ref="G4:G5" si="5">E4*F4</f>
        <v>6.0446285470062408E-2</v>
      </c>
      <c r="H4" s="18">
        <f t="shared" ref="H4:H5" si="6">B4-($O$2+$N$2*A4)</f>
        <v>-1.05534348535819E-2</v>
      </c>
      <c r="I4" s="37">
        <f t="shared" ref="I4:I5" si="7">H4*H4</f>
        <v>1.1137498720879722E-4</v>
      </c>
      <c r="J4" s="17">
        <f t="shared" si="2"/>
        <v>5.6641313756266333E-2</v>
      </c>
      <c r="K4" s="18"/>
      <c r="L4" s="18"/>
      <c r="M4" s="18"/>
      <c r="N4" s="18"/>
      <c r="O4" s="18"/>
      <c r="P4" s="18"/>
      <c r="Q4" s="18">
        <f>SQRT(Q2)</f>
        <v>2.1444163268282117E-3</v>
      </c>
      <c r="R4" s="18">
        <f>SQRT(R2)</f>
        <v>1.8213752258646951E-2</v>
      </c>
    </row>
    <row r="5" spans="1:18" ht="16.8" thickTop="1" thickBot="1" x14ac:dyDescent="0.35">
      <c r="A5" s="13">
        <f>'Таблица 2'!D21</f>
        <v>11.743601391598121</v>
      </c>
      <c r="B5" s="14">
        <f>'Таблица 2'!E21</f>
        <v>0.20318693751878394</v>
      </c>
      <c r="C5" s="38">
        <f t="shared" si="0"/>
        <v>17.308934664021457</v>
      </c>
      <c r="D5" s="37">
        <f t="shared" si="1"/>
        <v>5.1127709538106051E-3</v>
      </c>
      <c r="E5" s="20">
        <f t="shared" si="3"/>
        <v>4.1604007816581152</v>
      </c>
      <c r="F5" s="14">
        <f t="shared" si="4"/>
        <v>7.1503642940836276E-2</v>
      </c>
      <c r="G5" s="39">
        <f t="shared" si="5"/>
        <v>0.29748381198245799</v>
      </c>
      <c r="H5" s="18">
        <f t="shared" si="6"/>
        <v>1.4859580507365439E-2</v>
      </c>
      <c r="I5" s="37">
        <f t="shared" si="7"/>
        <v>2.2080713285487492E-4</v>
      </c>
      <c r="J5" s="17">
        <f t="shared" si="2"/>
        <v>6.2158920543672856E-2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4.2888326536564235E-3</v>
      </c>
      <c r="R6" s="18">
        <f>R4*2</f>
        <v>3.6427504517293902E-2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R23"/>
  <sheetViews>
    <sheetView topLeftCell="D1" workbookViewId="0">
      <selection activeCell="M18" sqref="M18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2'!D4</f>
        <v>2.6127964984877297</v>
      </c>
      <c r="B2" s="14">
        <f>'Таблица 2'!E4</f>
        <v>5.9812760784164108E-2</v>
      </c>
      <c r="C2" s="15">
        <f>(A2-$L$2)*(A2-$L$2)</f>
        <v>13.112281708792271</v>
      </c>
      <c r="D2" s="14">
        <f>(B2-$M$2)*(B2-$M$2)</f>
        <v>5.2460606371314321E-3</v>
      </c>
      <c r="E2" s="16">
        <f>A2-$L$2</f>
        <v>-3.6210884701691937</v>
      </c>
      <c r="F2" s="14">
        <f>B2-$M$2</f>
        <v>-7.2429694443173182E-2</v>
      </c>
      <c r="G2" s="17">
        <f>E2*F2</f>
        <v>0.26227433144605211</v>
      </c>
      <c r="H2" s="18">
        <f>B2-($O$2+$N$2*A2)</f>
        <v>-6.2781859664148842E-4</v>
      </c>
      <c r="I2" s="19">
        <f>H2*H2</f>
        <v>3.9415619028888792E-7</v>
      </c>
      <c r="J2" s="24">
        <f>SQRT(4*$R$2+4*$Q$2*A2*A2)</f>
        <v>5.7273458947585129E-3</v>
      </c>
      <c r="K2" s="18"/>
      <c r="L2" s="18">
        <f>SUM(A:A)/COUNT(A:A)</f>
        <v>6.2338849686569233</v>
      </c>
      <c r="M2" s="18">
        <f>SUM(B:B)/COUNT(B:B)</f>
        <v>0.1322424552273373</v>
      </c>
      <c r="N2" s="18">
        <f>SUM(G:G)/SUM(C:C)</f>
        <v>1.9828810159718852E-2</v>
      </c>
      <c r="O2" s="18">
        <f>M2-N2*L2</f>
        <v>8.6319336263142588E-3</v>
      </c>
      <c r="P2" s="18">
        <f>SUM(C:C)</f>
        <v>29.397768519112176</v>
      </c>
      <c r="Q2" s="18">
        <f>1/P2*SUM(I:I)/(COUNT(I:I)-2)</f>
        <v>1.5461941964366028E-7</v>
      </c>
      <c r="R2" s="18">
        <f>(1/COUNT(I:I)+L2*L2/P2)*SUM(I:I)/(COUNT(I:I)-2)</f>
        <v>7.1450815004907834E-6</v>
      </c>
    </row>
    <row r="3" spans="1:18" ht="16.8" thickTop="1" thickBot="1" x14ac:dyDescent="0.35">
      <c r="A3" s="13">
        <f>'Таблица 2'!D10</f>
        <v>4.9406713595986469</v>
      </c>
      <c r="B3" s="14">
        <f>'Таблица 2'!E10</f>
        <v>0.1084969694223261</v>
      </c>
      <c r="C3" s="15">
        <f t="shared" ref="C3:C5" si="0">(A3-$L$2)*(A3-$L$2)</f>
        <v>1.6724014386535326</v>
      </c>
      <c r="D3" s="14">
        <f t="shared" ref="D3:D5" si="1">(B3-$M$2)*(B3-$M$2)</f>
        <v>5.6384809611598804E-4</v>
      </c>
      <c r="E3" s="20">
        <f>A3-$L$2</f>
        <v>-1.2932136090582764</v>
      </c>
      <c r="F3" s="14">
        <f>B3-$M$2</f>
        <v>-2.3745485805011193E-2</v>
      </c>
      <c r="G3" s="17">
        <f>E3*F3</f>
        <v>3.0707985396740599E-2</v>
      </c>
      <c r="H3" s="18">
        <f>B3-($O$2+$N$2*A3)</f>
        <v>1.8974013449702398E-3</v>
      </c>
      <c r="I3" s="14">
        <f>H3*H3</f>
        <v>3.6001318638948752E-6</v>
      </c>
      <c r="J3" s="17">
        <f t="shared" ref="J3:J5" si="2">SQRT(4*$R$2+4*$Q$2*A3*A3)</f>
        <v>6.6088963178687612E-3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2'!D16</f>
        <v>7.5645585542759797</v>
      </c>
      <c r="B4" s="14">
        <f>'Таблица 2'!E16</f>
        <v>0.15652863240702511</v>
      </c>
      <c r="C4" s="15">
        <f t="shared" si="0"/>
        <v>1.7706921914642761</v>
      </c>
      <c r="D4" s="14">
        <f t="shared" si="1"/>
        <v>5.8981840200318908E-4</v>
      </c>
      <c r="E4" s="20">
        <f t="shared" ref="E4:E5" si="3">A4-$L$2</f>
        <v>1.3306735856190564</v>
      </c>
      <c r="F4" s="14">
        <f t="shared" ref="F4:F5" si="4">B4-$M$2</f>
        <v>2.4286177179687812E-2</v>
      </c>
      <c r="G4" s="17">
        <f t="shared" ref="G4:G5" si="5">E4*F4</f>
        <v>3.2316974468674882E-2</v>
      </c>
      <c r="H4" s="18">
        <f t="shared" ref="H4:H5" si="6">B4-($O$2+$N$2*A4)</f>
        <v>-2.0994967341048387E-3</v>
      </c>
      <c r="I4" s="14">
        <f t="shared" ref="I4:I5" si="7">H4*H4</f>
        <v>4.4078865365168841E-6</v>
      </c>
      <c r="J4" s="17">
        <f t="shared" si="2"/>
        <v>7.9981993904286227E-3</v>
      </c>
      <c r="K4" s="18"/>
      <c r="L4" s="18"/>
      <c r="M4" s="18"/>
      <c r="N4" s="18"/>
      <c r="O4" s="18"/>
      <c r="P4" s="18"/>
      <c r="Q4" s="18">
        <f>SQRT(Q2)</f>
        <v>3.9321675910833234E-4</v>
      </c>
      <c r="R4" s="18">
        <f>SQRT(R2)</f>
        <v>2.6730285259403395E-3</v>
      </c>
    </row>
    <row r="5" spans="1:18" ht="16.8" thickTop="1" thickBot="1" x14ac:dyDescent="0.35">
      <c r="A5" s="13">
        <f>'Таблица 2'!D22</f>
        <v>9.8175134622653353</v>
      </c>
      <c r="B5" s="14">
        <f>'Таблица 2'!E22</f>
        <v>0.20413145829583393</v>
      </c>
      <c r="C5" s="15">
        <f t="shared" si="0"/>
        <v>12.842393180202096</v>
      </c>
      <c r="D5" s="14">
        <f t="shared" si="1"/>
        <v>5.168028762182318E-3</v>
      </c>
      <c r="E5" s="20">
        <f t="shared" si="3"/>
        <v>3.583628493608412</v>
      </c>
      <c r="F5" s="14">
        <f t="shared" si="4"/>
        <v>7.1889003068496632E-2</v>
      </c>
      <c r="G5" s="17">
        <f t="shared" si="5"/>
        <v>0.25762347977336708</v>
      </c>
      <c r="H5" s="18">
        <f t="shared" si="6"/>
        <v>8.2991398577619835E-4</v>
      </c>
      <c r="I5" s="14">
        <f t="shared" si="7"/>
        <v>6.8875722378693598E-7</v>
      </c>
      <c r="J5" s="17">
        <f t="shared" si="2"/>
        <v>9.3910283243160229E-3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7.8643351821666469E-4</v>
      </c>
      <c r="R6" s="18">
        <f>R4*2</f>
        <v>5.346057051880679E-3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R23"/>
  <sheetViews>
    <sheetView topLeftCell="M1"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2'!D5</f>
        <v>2.0073477850478456</v>
      </c>
      <c r="B2" s="14">
        <f>'Таблица 2'!E5</f>
        <v>5.9898276176796501E-2</v>
      </c>
      <c r="C2" s="15">
        <f>(A2-$L$2)*(A2-$L$2)</f>
        <v>4.9825525584651942</v>
      </c>
      <c r="D2" s="14">
        <f>(B2-$M$2)*(B2-$M$2)</f>
        <v>5.345361025980962E-3</v>
      </c>
      <c r="E2" s="16">
        <f>A2-$L$2</f>
        <v>-2.2321632015749193</v>
      </c>
      <c r="F2" s="14">
        <f>B2-$M$2</f>
        <v>-7.3111975940887836E-2</v>
      </c>
      <c r="G2" s="17">
        <f>E2*F2</f>
        <v>0.16319786228968067</v>
      </c>
      <c r="H2" s="18">
        <f>B2-($O$2+$N$2*A2)</f>
        <v>2.8332131357577256E-4</v>
      </c>
      <c r="I2" s="19">
        <f>H2*H2</f>
        <v>8.0270966726301239E-8</v>
      </c>
      <c r="J2" s="24">
        <f>SQRT(4*$R$2+4*$Q$2*A2*A2)</f>
        <v>1.117262637281349E-2</v>
      </c>
      <c r="K2" s="18"/>
      <c r="L2" s="18">
        <f>SUM(A:A)/COUNT(A:A)</f>
        <v>4.2395109866227649</v>
      </c>
      <c r="M2" s="18">
        <f>SUM(B:B)/COUNT(B:B)</f>
        <v>0.13301025211768433</v>
      </c>
      <c r="N2" s="18">
        <f>SUM(G:G)/SUM(C:C)</f>
        <v>3.2880793484400692E-2</v>
      </c>
      <c r="O2" s="18">
        <f>M2-N2*L2</f>
        <v>-6.3882331083066346E-3</v>
      </c>
      <c r="P2" s="18">
        <f>SUM(C:C)</f>
        <v>10.912903872001831</v>
      </c>
      <c r="Q2" s="18">
        <f>1/P2*SUM(I:I)/(COUNT(I:I)-2)</f>
        <v>1.2618469900867782E-6</v>
      </c>
      <c r="R2" s="18">
        <f>(1/COUNT(I:I)+L2*L2/P2)*SUM(I:I)/(COUNT(I:I)-2)</f>
        <v>2.6122351807439319E-5</v>
      </c>
    </row>
    <row r="3" spans="1:18" ht="16.8" thickTop="1" thickBot="1" x14ac:dyDescent="0.35">
      <c r="A3" s="13">
        <f>'Таблица 2'!D11</f>
        <v>3.4616362242318286</v>
      </c>
      <c r="B3" s="14">
        <f>'Таблица 2'!E11</f>
        <v>0.10887800289100473</v>
      </c>
      <c r="C3" s="15">
        <f t="shared" ref="C3:C5" si="0">(A3-$L$2)*(A3-$L$2)</f>
        <v>0.60508914596475571</v>
      </c>
      <c r="D3" s="14">
        <f t="shared" ref="D3:D5" si="1">(B3-$M$2)*(B3-$M$2)</f>
        <v>5.8236545273857813E-4</v>
      </c>
      <c r="E3" s="20">
        <f>A3-$L$2</f>
        <v>-0.77787476239093634</v>
      </c>
      <c r="F3" s="14">
        <f>B3-$M$2</f>
        <v>-2.41322492266796E-2</v>
      </c>
      <c r="G3" s="17">
        <f>E3*F3</f>
        <v>1.8771867633162249E-2</v>
      </c>
      <c r="H3" s="18">
        <f>B3-($O$2+$N$2*A3)</f>
        <v>1.4448901922240465E-3</v>
      </c>
      <c r="I3" s="14">
        <f>H3*H3</f>
        <v>2.0877076675852421E-6</v>
      </c>
      <c r="J3" s="17">
        <f t="shared" ref="J3:J5" si="2">SQRT(4*$R$2+4*$Q$2*A3*A3)</f>
        <v>1.2844137976742696E-2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2'!D17</f>
        <v>5.114015141137684</v>
      </c>
      <c r="B4" s="14">
        <f>'Таблица 2'!E17</f>
        <v>0.15744514299516907</v>
      </c>
      <c r="C4" s="15">
        <f t="shared" si="0"/>
        <v>0.76475751626385335</v>
      </c>
      <c r="D4" s="14">
        <f t="shared" si="1"/>
        <v>5.9706389219458687E-4</v>
      </c>
      <c r="E4" s="20">
        <f t="shared" ref="E4:E5" si="3">A4-$L$2</f>
        <v>0.87450415451491903</v>
      </c>
      <c r="F4" s="14">
        <f t="shared" ref="F4:F5" si="4">B4-$M$2</f>
        <v>2.4434890877484738E-2</v>
      </c>
      <c r="G4" s="17">
        <f t="shared" ref="G4:G5" si="5">E4*F4</f>
        <v>2.1368413587479099E-2</v>
      </c>
      <c r="H4" s="18">
        <f t="shared" ref="H4:H5" si="6">B4-($O$2+$N$2*A4)</f>
        <v>-4.3194996283707487E-3</v>
      </c>
      <c r="I4" s="14">
        <f t="shared" ref="I4:I5" si="7">H4*H4</f>
        <v>1.8658077039495036E-5</v>
      </c>
      <c r="J4" s="17">
        <f t="shared" si="2"/>
        <v>1.5378377873650062E-2</v>
      </c>
      <c r="K4" s="18"/>
      <c r="L4" s="18"/>
      <c r="M4" s="18"/>
      <c r="N4" s="18"/>
      <c r="O4" s="18"/>
      <c r="P4" s="18"/>
      <c r="Q4" s="18">
        <f>SQRT(Q2)</f>
        <v>1.1233196295297159E-3</v>
      </c>
      <c r="R4" s="18">
        <f>SQRT(R2)</f>
        <v>5.1110030138358676E-3</v>
      </c>
    </row>
    <row r="5" spans="1:18" ht="16.8" thickTop="1" thickBot="1" x14ac:dyDescent="0.35">
      <c r="A5" s="13">
        <f>'Таблица 2'!D23</f>
        <v>6.3750447960737011</v>
      </c>
      <c r="B5" s="14">
        <f>'Таблица 2'!E23</f>
        <v>0.20581958640776699</v>
      </c>
      <c r="C5" s="15">
        <f t="shared" si="0"/>
        <v>4.5605046513080278</v>
      </c>
      <c r="D5" s="14">
        <f t="shared" si="1"/>
        <v>5.3011991597650063E-3</v>
      </c>
      <c r="E5" s="20">
        <f t="shared" si="3"/>
        <v>2.1355338094509362</v>
      </c>
      <c r="F5" s="14">
        <f t="shared" si="4"/>
        <v>7.2809334290082656E-2</v>
      </c>
      <c r="G5" s="17">
        <f t="shared" si="5"/>
        <v>0.15548679502008689</v>
      </c>
      <c r="H5" s="18">
        <f t="shared" si="6"/>
        <v>2.5912881225709228E-3</v>
      </c>
      <c r="I5" s="14">
        <f t="shared" si="7"/>
        <v>6.7147741341771375E-6</v>
      </c>
      <c r="J5" s="17">
        <f t="shared" si="2"/>
        <v>1.7596058972997247E-2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2.2466392590594318E-3</v>
      </c>
      <c r="R6" s="18">
        <f>R4*2</f>
        <v>1.0222006027671735E-2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2'!D6</f>
        <v>1.3681966786634714</v>
      </c>
      <c r="B2" s="14">
        <f>'Таблица 2'!E6</f>
        <v>5.9988551796515549E-2</v>
      </c>
      <c r="C2" s="15">
        <f>(A2-$L$2)*(A2-$L$2)</f>
        <v>2.978252756036663</v>
      </c>
      <c r="D2" s="14">
        <f>(B2-$M$2)*(B2-$M$2)</f>
        <v>5.3926758648006274E-3</v>
      </c>
      <c r="E2" s="16">
        <f>A2-$L$2</f>
        <v>-1.7257615003344648</v>
      </c>
      <c r="F2" s="14">
        <f>B2-$M$2</f>
        <v>-7.3434840946247221E-2</v>
      </c>
      <c r="G2" s="17">
        <f>E2*F2</f>
        <v>0.12673102128821839</v>
      </c>
      <c r="H2" s="18">
        <f>B2-($O$2+$N$2*A2)</f>
        <v>1.4337678284105163E-3</v>
      </c>
      <c r="I2" s="19">
        <f>H2*H2</f>
        <v>2.0556901857850076E-6</v>
      </c>
      <c r="J2" s="24">
        <f>SQRT(4*$R$2+4*$Q$2*A2*A2)</f>
        <v>1.3378971817500245E-2</v>
      </c>
      <c r="K2" s="18"/>
      <c r="L2" s="18">
        <f>SUM(A:A)/COUNT(A:A)</f>
        <v>3.0939581789979362</v>
      </c>
      <c r="M2" s="18">
        <f>SUM(B:B)/COUNT(B:B)</f>
        <v>0.13342339274276277</v>
      </c>
      <c r="N2" s="18">
        <f>SUM(G:G)/SUM(C:C)</f>
        <v>4.3382940667147617E-2</v>
      </c>
      <c r="O2" s="18">
        <f>M2-N2*L2</f>
        <v>-8.0161136334078176E-4</v>
      </c>
      <c r="P2" s="18">
        <f>SUM(C:C)</f>
        <v>6.3228311949773399</v>
      </c>
      <c r="Q2" s="18">
        <f>1/P2*SUM(I:I)/(COUNT(I:I)-2)</f>
        <v>3.4355756294813173E-6</v>
      </c>
      <c r="R2" s="18">
        <f>(1/COUNT(I:I)+L2*L2/P2)*SUM(I:I)/(COUNT(I:I)-2)</f>
        <v>3.831795417634186E-5</v>
      </c>
    </row>
    <row r="3" spans="1:18" ht="16.8" thickTop="1" thickBot="1" x14ac:dyDescent="0.35">
      <c r="A3" s="13">
        <f>'Таблица 2'!D12</f>
        <v>2.641908212560387</v>
      </c>
      <c r="B3" s="14">
        <f>'Таблица 2'!E12</f>
        <v>0.10908918368055555</v>
      </c>
      <c r="C3" s="15">
        <f t="shared" ref="C3:C5" si="0">(A3-$L$2)*(A3-$L$2)</f>
        <v>0.20434917215618939</v>
      </c>
      <c r="D3" s="14">
        <f t="shared" ref="D3:D5" si="1">(B3-$M$2)*(B3-$M$2)</f>
        <v>5.9215373068320805E-4</v>
      </c>
      <c r="E3" s="20">
        <f>A3-$L$2</f>
        <v>-0.45204996643754924</v>
      </c>
      <c r="F3" s="14">
        <f>B3-$M$2</f>
        <v>-2.4334209062207221E-2</v>
      </c>
      <c r="G3" s="17">
        <f>E3*F3</f>
        <v>1.1000278389855081E-2</v>
      </c>
      <c r="H3" s="18">
        <f>B3-($O$2+$N$2*A3)</f>
        <v>-4.7229521896609561E-3</v>
      </c>
      <c r="I3" s="14">
        <f>H3*H3</f>
        <v>2.230627738582322E-5</v>
      </c>
      <c r="J3" s="17">
        <f t="shared" ref="J3:J5" si="2">SQRT(4*$R$2+4*$Q$2*A3*A3)</f>
        <v>1.5785711167089295E-2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2'!D18</f>
        <v>3.5628647694883053</v>
      </c>
      <c r="B4" s="14">
        <f>'Таблица 2'!E18</f>
        <v>0.15802527788761705</v>
      </c>
      <c r="C4" s="15">
        <f t="shared" si="0"/>
        <v>0.2198733906053027</v>
      </c>
      <c r="D4" s="14">
        <f t="shared" si="1"/>
        <v>6.0525275268060201E-4</v>
      </c>
      <c r="E4" s="20">
        <f t="shared" ref="E4:E5" si="3">A4-$L$2</f>
        <v>0.46890659049036909</v>
      </c>
      <c r="F4" s="14">
        <f t="shared" ref="F4:F5" si="4">B4-$M$2</f>
        <v>2.4601885144854285E-2</v>
      </c>
      <c r="G4" s="17">
        <f t="shared" ref="G4:G5" si="5">E4*F4</f>
        <v>1.1535986082909283E-2</v>
      </c>
      <c r="H4" s="18">
        <f t="shared" ref="H4:H5" si="6">B4-($O$2+$N$2*A4)</f>
        <v>4.2593383511761174E-3</v>
      </c>
      <c r="I4" s="14">
        <f t="shared" ref="I4:I5" si="7">H4*H4</f>
        <v>1.8141963189799686E-5</v>
      </c>
      <c r="J4" s="17">
        <f t="shared" si="2"/>
        <v>1.810294668291455E-2</v>
      </c>
      <c r="K4" s="18"/>
      <c r="L4" s="18"/>
      <c r="M4" s="18"/>
      <c r="N4" s="18"/>
      <c r="O4" s="18"/>
      <c r="P4" s="18"/>
      <c r="Q4" s="18">
        <f>SQRT(Q2)</f>
        <v>1.8535305849867482E-3</v>
      </c>
      <c r="R4" s="18">
        <f>SQRT(R2)</f>
        <v>6.1901497701058782E-3</v>
      </c>
    </row>
    <row r="5" spans="1:18" ht="16.8" thickTop="1" thickBot="1" x14ac:dyDescent="0.35">
      <c r="A5" s="13">
        <f>'Таблица 2'!D24</f>
        <v>4.8028630552795812</v>
      </c>
      <c r="B5" s="14">
        <f>'Таблица 2'!E24</f>
        <v>0.20659055760636286</v>
      </c>
      <c r="C5" s="15">
        <f t="shared" si="0"/>
        <v>2.9203558761791846</v>
      </c>
      <c r="D5" s="14">
        <f t="shared" si="1"/>
        <v>5.3534340141772356E-3</v>
      </c>
      <c r="E5" s="20">
        <f t="shared" si="3"/>
        <v>1.708904876281645</v>
      </c>
      <c r="F5" s="14">
        <f t="shared" si="4"/>
        <v>7.3167164863600087E-2</v>
      </c>
      <c r="G5" s="17">
        <f t="shared" si="5"/>
        <v>0.12503572481910924</v>
      </c>
      <c r="H5" s="18">
        <f t="shared" si="6"/>
        <v>-9.7015398992575386E-4</v>
      </c>
      <c r="I5" s="14">
        <f t="shared" si="7"/>
        <v>9.4119876416885967E-7</v>
      </c>
      <c r="J5" s="17">
        <f t="shared" si="2"/>
        <v>2.1685762405187863E-2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3.7070611699734964E-3</v>
      </c>
      <c r="R6" s="18">
        <f>R4*2</f>
        <v>1.2380299540211756E-2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R23"/>
  <sheetViews>
    <sheetView topLeftCell="L1"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2'!D7</f>
        <v>1.0492290352484746</v>
      </c>
      <c r="B2" s="14">
        <f>'Таблица 2'!E7</f>
        <v>6.0033603743374409E-2</v>
      </c>
      <c r="C2" s="15">
        <f>(A2-$L$2)*(A2-$L$2)</f>
        <v>1.7077130863854875</v>
      </c>
      <c r="D2" s="14">
        <f>(B2-$M$2)*(B2-$M$2)</f>
        <v>5.4260465420137407E-3</v>
      </c>
      <c r="E2" s="16">
        <f>A2-$L$2</f>
        <v>-1.3067949672329962</v>
      </c>
      <c r="F2" s="14">
        <f>B2-$M$2</f>
        <v>-7.3661703360794889E-2</v>
      </c>
      <c r="G2" s="17">
        <f>E2*F2</f>
        <v>9.6260743229696646E-2</v>
      </c>
      <c r="H2" s="18">
        <f>B2-($O$2+$N$2*A2)</f>
        <v>9.4864924302905107E-4</v>
      </c>
      <c r="I2" s="19">
        <f>H2*H2</f>
        <v>8.9993538629959162E-7</v>
      </c>
      <c r="J2" s="24">
        <f>SQRT(4*$R$2+4*$Q$2*A2*A2)</f>
        <v>1.4590607322355771E-2</v>
      </c>
      <c r="K2" s="18"/>
      <c r="L2" s="18">
        <f>SUM(A:A)/COUNT(A:A)</f>
        <v>2.3560240024814707</v>
      </c>
      <c r="M2" s="18">
        <f>SUM(B:B)/COUNT(B:B)</f>
        <v>0.1336953071041693</v>
      </c>
      <c r="N2" s="18">
        <f>SUM(G:G)/SUM(C:C)</f>
        <v>5.7094153616005797E-2</v>
      </c>
      <c r="O2" s="18">
        <f>M2-N2*L2</f>
        <v>-8.1988921650461011E-4</v>
      </c>
      <c r="P2" s="18">
        <f>SUM(C:C)</f>
        <v>3.6741550687041968</v>
      </c>
      <c r="Q2" s="18">
        <f>1/P2*SUM(I:I)/(COUNT(I:I)-2)</f>
        <v>7.0303251370070247E-6</v>
      </c>
      <c r="R2" s="18">
        <f>(1/COUNT(I:I)+L2*L2/P2)*SUM(I:I)/(COUNT(I:I)-2)</f>
        <v>4.548190014554585E-5</v>
      </c>
    </row>
    <row r="3" spans="1:18" ht="16.8" thickTop="1" thickBot="1" x14ac:dyDescent="0.35">
      <c r="A3" s="13">
        <f>'Таблица 2'!D13</f>
        <v>1.9112997054914689</v>
      </c>
      <c r="B3" s="14">
        <f>'Таблица 2'!E13</f>
        <v>0.10927740523597217</v>
      </c>
      <c r="C3" s="15">
        <f t="shared" ref="C3:C5" si="0">(A3-$L$2)*(A3-$L$2)</f>
        <v>0.19777970033325135</v>
      </c>
      <c r="D3" s="14">
        <f t="shared" ref="D3:D5" si="1">(B3-$M$2)*(B3-$M$2)</f>
        <v>5.9623393164490493E-4</v>
      </c>
      <c r="E3" s="20">
        <f>A3-$L$2</f>
        <v>-0.44472429699000182</v>
      </c>
      <c r="F3" s="14">
        <f>B3-$M$2</f>
        <v>-2.4417901868197131E-2</v>
      </c>
      <c r="G3" s="17">
        <f>E3*F3</f>
        <v>1.0859234242304821E-2</v>
      </c>
      <c r="H3" s="18">
        <f>B3-($O$2+$N$2*A3)</f>
        <v>9.7325546092021098E-4</v>
      </c>
      <c r="I3" s="14">
        <f>H3*H3</f>
        <v>9.4722619221101237E-7</v>
      </c>
      <c r="J3" s="17">
        <f t="shared" ref="J3:J5" si="2">SQRT(4*$R$2+4*$Q$2*A3*A3)</f>
        <v>1.6871768827136504E-2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2'!D19</f>
        <v>2.8891815217030157</v>
      </c>
      <c r="B4" s="14">
        <f>'Таблица 2'!E19</f>
        <v>0.15827723744333849</v>
      </c>
      <c r="C4" s="15">
        <f t="shared" si="0"/>
        <v>0.28425694030247212</v>
      </c>
      <c r="D4" s="14">
        <f t="shared" si="1"/>
        <v>6.0427129919976693E-4</v>
      </c>
      <c r="E4" s="20">
        <f t="shared" ref="E4:E5" si="3">A4-$L$2</f>
        <v>0.53315751922154497</v>
      </c>
      <c r="F4" s="14">
        <f t="shared" ref="F4:F5" si="4">B4-$M$2</f>
        <v>2.4581930339169195E-2</v>
      </c>
      <c r="G4" s="17">
        <f t="shared" ref="G4:G5" si="5">E4*F4</f>
        <v>1.3106040997308279E-2</v>
      </c>
      <c r="H4" s="18">
        <f t="shared" ref="H4:H5" si="6">B4-($O$2+$N$2*A4)</f>
        <v>-5.8582469647942559E-3</v>
      </c>
      <c r="I4" s="14">
        <f t="shared" ref="I4:I5" si="7">H4*H4</f>
        <v>3.431905750052111E-5</v>
      </c>
      <c r="J4" s="17">
        <f t="shared" si="2"/>
        <v>2.0412410375828912E-2</v>
      </c>
      <c r="K4" s="18"/>
      <c r="L4" s="18"/>
      <c r="M4" s="18"/>
      <c r="N4" s="18"/>
      <c r="O4" s="18"/>
      <c r="P4" s="18"/>
      <c r="Q4" s="18">
        <f>SQRT(Q2)</f>
        <v>2.6514760298760056E-3</v>
      </c>
      <c r="R4" s="18">
        <f>SQRT(R2)</f>
        <v>6.7440269976880912E-3</v>
      </c>
    </row>
    <row r="5" spans="1:18" ht="16.8" thickTop="1" thickBot="1" x14ac:dyDescent="0.35">
      <c r="A5" s="13">
        <f>'Таблица 2'!D25</f>
        <v>3.5743857474829239</v>
      </c>
      <c r="B5" s="14">
        <f>'Таблица 2'!E25</f>
        <v>0.20719298199399211</v>
      </c>
      <c r="C5" s="15">
        <f t="shared" si="0"/>
        <v>1.4844053416829861</v>
      </c>
      <c r="D5" s="14">
        <f t="shared" si="1"/>
        <v>5.401908214210091E-3</v>
      </c>
      <c r="E5" s="20">
        <f t="shared" si="3"/>
        <v>1.2183617450014532</v>
      </c>
      <c r="F5" s="14">
        <f t="shared" si="4"/>
        <v>7.3497674889822812E-2</v>
      </c>
      <c r="G5" s="17">
        <f t="shared" si="5"/>
        <v>8.954675543231401E-2</v>
      </c>
      <c r="H5" s="18">
        <f t="shared" si="6"/>
        <v>3.9363422608449661E-3</v>
      </c>
      <c r="I5" s="14">
        <f t="shared" si="7"/>
        <v>1.5494790394514057E-5</v>
      </c>
      <c r="J5" s="17">
        <f t="shared" si="2"/>
        <v>2.3263961440707005E-2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5.3029520597520112E-3</v>
      </c>
      <c r="R6" s="18">
        <f>R4*2</f>
        <v>1.3488053995376182E-2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R23"/>
  <sheetViews>
    <sheetView topLeftCell="C1"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2'!D8</f>
        <v>0.85315804032252385</v>
      </c>
      <c r="B2" s="14">
        <f>'Таблица 2'!E8</f>
        <v>6.0061297398910737E-2</v>
      </c>
      <c r="C2" s="15">
        <f>(A2-$L$2)*(A2-$L$2)</f>
        <v>1.3218991642965419</v>
      </c>
      <c r="D2" s="14">
        <f>(B2-$M$2)*(B2-$M$2)</f>
        <v>5.4427257479004957E-3</v>
      </c>
      <c r="E2" s="16">
        <f>A2-$L$2</f>
        <v>-1.1497387374079999</v>
      </c>
      <c r="F2" s="14">
        <f>B2-$M$2</f>
        <v>-7.377483139865855E-2</v>
      </c>
      <c r="G2" s="17">
        <f>E2*F2</f>
        <v>8.4821781504781743E-2</v>
      </c>
      <c r="H2" s="18">
        <f>B2-($O$2+$N$2*A2)</f>
        <v>8.9917105396098637E-3</v>
      </c>
      <c r="I2" s="19">
        <f>H2*H2</f>
        <v>8.085085842813111E-5</v>
      </c>
      <c r="J2" s="24">
        <f>SQRT(4*$R$2+4*$Q$2*A2*A2)</f>
        <v>4.9270829191583723E-2</v>
      </c>
      <c r="K2" s="18"/>
      <c r="L2" s="18">
        <f>SUM(A:A)/COUNT(A:A)</f>
        <v>2.0028967777305238</v>
      </c>
      <c r="M2" s="18">
        <f>SUM(B:B)/COUNT(B:B)</f>
        <v>0.13383612879756929</v>
      </c>
      <c r="N2" s="18">
        <f>SUM(G:G)/SUM(C:C)</f>
        <v>7.1987260449151602E-2</v>
      </c>
      <c r="O2" s="18">
        <f>M2-N2*L2</f>
        <v>-1.0346923193684437E-2</v>
      </c>
      <c r="P2" s="18">
        <f>SUM(C:C)</f>
        <v>2.2331553508701214</v>
      </c>
      <c r="Q2" s="18">
        <f>1/P2*SUM(I:I)/(COUNT(I:I)-2)</f>
        <v>1.145584757943661E-4</v>
      </c>
      <c r="R2" s="18">
        <f>(1/COUNT(I:I)+L2*L2/P2)*SUM(I:I)/(COUNT(I:I)-2)</f>
        <v>5.2351898454245727E-4</v>
      </c>
    </row>
    <row r="3" spans="1:18" ht="16.8" thickTop="1" thickBot="1" x14ac:dyDescent="0.35">
      <c r="A3" s="13">
        <f>'Таблица 2'!D14</f>
        <v>1.9023000725274553</v>
      </c>
      <c r="B3" s="14">
        <f>'Таблица 2'!E14</f>
        <v>0.10927972374841526</v>
      </c>
      <c r="C3" s="15">
        <f t="shared" ref="C3:C5" si="0">(A3-$L$2)*(A3-$L$2)</f>
        <v>1.0119697097713072E-2</v>
      </c>
      <c r="D3" s="14">
        <f t="shared" ref="D3:D5" si="1">(B3-$M$2)*(B3-$M$2)</f>
        <v>6.030170289381176E-4</v>
      </c>
      <c r="E3" s="20">
        <f>A3-$L$2</f>
        <v>-0.10059670520306851</v>
      </c>
      <c r="F3" s="14">
        <f>B3-$M$2</f>
        <v>-2.4556405049154031E-2</v>
      </c>
      <c r="G3" s="17">
        <f>E3*F3</f>
        <v>2.4702934395768915E-3</v>
      </c>
      <c r="H3" s="18">
        <f>B3-($O$2+$N$2*A3)</f>
        <v>-1.731472383137421E-2</v>
      </c>
      <c r="I3" s="14">
        <f>H3*H3</f>
        <v>2.9979966135675799E-4</v>
      </c>
      <c r="J3" s="17">
        <f t="shared" ref="J3:J5" si="2">SQRT(4*$R$2+4*$Q$2*A3*A3)</f>
        <v>6.1256084134196198E-2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2'!D20</f>
        <v>2.3836599880801863</v>
      </c>
      <c r="B4" s="14">
        <f>'Таблица 2'!E20</f>
        <v>0.15846630401347803</v>
      </c>
      <c r="C4" s="15">
        <f t="shared" si="0"/>
        <v>0.14498062235578135</v>
      </c>
      <c r="D4" s="14">
        <f t="shared" si="1"/>
        <v>6.0664553116636507E-4</v>
      </c>
      <c r="E4" s="20">
        <f t="shared" ref="E4:E5" si="3">A4-$L$2</f>
        <v>0.38076321034966254</v>
      </c>
      <c r="F4" s="14">
        <f t="shared" ref="F4:F5" si="4">B4-$M$2</f>
        <v>2.4630175215908739E-2</v>
      </c>
      <c r="G4" s="17">
        <f t="shared" ref="G4:G5" si="5">E4*F4</f>
        <v>9.3782645866841048E-3</v>
      </c>
      <c r="H4" s="18">
        <f t="shared" ref="H4:H5" si="6">B4-($O$2+$N$2*A4)</f>
        <v>-2.7799251769875244E-3</v>
      </c>
      <c r="I4" s="14">
        <f t="shared" ref="I4:I5" si="7">H4*H4</f>
        <v>7.7279839896491193E-6</v>
      </c>
      <c r="J4" s="17">
        <f t="shared" si="2"/>
        <v>6.8539662527433903E-2</v>
      </c>
      <c r="K4" s="18"/>
      <c r="L4" s="18"/>
      <c r="M4" s="18"/>
      <c r="N4" s="18"/>
      <c r="O4" s="18"/>
      <c r="P4" s="18"/>
      <c r="Q4" s="18">
        <f>SQRT(Q2)</f>
        <v>1.0703199325172176E-2</v>
      </c>
      <c r="R4" s="18">
        <f>SQRT(R2)</f>
        <v>2.2880537243309153E-2</v>
      </c>
    </row>
    <row r="5" spans="1:18" ht="16.8" thickTop="1" thickBot="1" x14ac:dyDescent="0.35">
      <c r="A5" s="13">
        <f>'Таблица 2'!D26</f>
        <v>2.8724690099919301</v>
      </c>
      <c r="B5" s="14">
        <f>'Таблица 2'!E26</f>
        <v>0.20753719002947313</v>
      </c>
      <c r="C5" s="15">
        <f t="shared" si="0"/>
        <v>0.7561558671200852</v>
      </c>
      <c r="D5" s="14">
        <f t="shared" si="1"/>
        <v>5.431846426708839E-3</v>
      </c>
      <c r="E5" s="20">
        <f t="shared" si="3"/>
        <v>0.86957223226140634</v>
      </c>
      <c r="F5" s="14">
        <f t="shared" si="4"/>
        <v>7.3701061231903842E-2</v>
      </c>
      <c r="G5" s="17">
        <f t="shared" si="5"/>
        <v>6.408839633546122E-2</v>
      </c>
      <c r="H5" s="18">
        <f t="shared" si="6"/>
        <v>1.110293846875185E-2</v>
      </c>
      <c r="I5" s="14">
        <f t="shared" si="7"/>
        <v>1.2327524264088967E-4</v>
      </c>
      <c r="J5" s="17">
        <f t="shared" si="2"/>
        <v>7.6648546713568952E-2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2.1406398650344351E-2</v>
      </c>
      <c r="R6" s="18">
        <f>R4*2</f>
        <v>4.5761074486618307E-2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R9"/>
  <sheetViews>
    <sheetView workbookViewId="0">
      <selection activeCell="B2" sqref="B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3'!B3</f>
        <v>5.9290000000000002E-3</v>
      </c>
      <c r="B2" s="14">
        <f>'Таблица 3'!B4</f>
        <v>1.3615049464271925E-2</v>
      </c>
      <c r="C2" s="15">
        <f>(A2-$L$2)*(A2-$L$2)</f>
        <v>2.3575043402777784E-4</v>
      </c>
      <c r="D2" s="14">
        <f>(B2-$M$2)*(B2-$M$2)</f>
        <v>6.8555569486563326E-4</v>
      </c>
      <c r="E2" s="16">
        <f>A2-$L$2</f>
        <v>-1.5354166666666669E-2</v>
      </c>
      <c r="F2" s="14">
        <f>B2-$M$2</f>
        <v>-2.6183118509177497E-2</v>
      </c>
      <c r="G2" s="17">
        <f>E2*F2</f>
        <v>4.0201996544299621E-4</v>
      </c>
      <c r="H2" s="18">
        <f>B2-($O$2+$N$2*A2)</f>
        <v>-2.3328352345372907E-4</v>
      </c>
      <c r="I2" s="19">
        <f>H2*H2</f>
        <v>5.4421202314986565E-8</v>
      </c>
      <c r="J2" s="24">
        <f>SQRT(4*$R$2+4*$Q$2*A2*A2)</f>
        <v>2.2250859064773189E-3</v>
      </c>
      <c r="K2" s="18"/>
      <c r="L2" s="18">
        <f>SUM(A:A)/COUNT(A:A)</f>
        <v>2.1283166666666669E-2</v>
      </c>
      <c r="M2" s="18">
        <f>SUM(B:B)/COUNT(B:B)</f>
        <v>3.9798167973449421E-2</v>
      </c>
      <c r="N2" s="51">
        <f>SUM(G:G)/SUM(C:C)</f>
        <v>1.6900842324487659</v>
      </c>
      <c r="O2" s="18">
        <f>M2-N2*L2</f>
        <v>3.8278235735369204E-3</v>
      </c>
      <c r="P2" s="18">
        <f>SUM(C:C)</f>
        <v>8.6596927083333294E-4</v>
      </c>
      <c r="Q2" s="18">
        <f>1/P2*SUM(I:I)/(COUNT(I:I)-2)</f>
        <v>1.9570608600724894E-3</v>
      </c>
      <c r="R2" s="18">
        <f>(1/COUNT(I:I)+L2*L2/P2)*SUM(I:I)/(COUNT(I:I)-2)</f>
        <v>1.1689551821473744E-6</v>
      </c>
    </row>
    <row r="3" spans="1:18" ht="16.8" thickTop="1" thickBot="1" x14ac:dyDescent="0.35">
      <c r="A3" s="13">
        <f>'Таблица 3'!C3</f>
        <v>1.0404000000000002E-2</v>
      </c>
      <c r="B3" s="14">
        <f>'Таблица 3'!C4</f>
        <v>1.9828810159718852E-2</v>
      </c>
      <c r="C3" s="15">
        <f>(A3-$L$2)*(A3-$L$2)</f>
        <v>1.1835626736111112E-4</v>
      </c>
      <c r="D3" s="14">
        <f>(B3-$M$2)*(B3-$M$2)</f>
        <v>3.9877525149280215E-4</v>
      </c>
      <c r="E3" s="20">
        <f>A3-$L$2</f>
        <v>-1.0879166666666667E-2</v>
      </c>
      <c r="F3" s="14">
        <f>B3-$M$2</f>
        <v>-1.9969357813730569E-2</v>
      </c>
      <c r="G3" s="17">
        <f>E3*F3</f>
        <v>2.1724997188187715E-4</v>
      </c>
      <c r="H3" s="18">
        <f>B3-($O$2+$N$2*A3)</f>
        <v>-1.5826497682150317E-3</v>
      </c>
      <c r="I3" s="14">
        <f>H3*H3</f>
        <v>2.5047802888310937E-6</v>
      </c>
      <c r="J3" s="17">
        <f t="shared" ref="J3:J7" si="0">SQRT(4*$R$2+4*$Q$2*A3*A3)</f>
        <v>2.3501436071434842E-3</v>
      </c>
      <c r="K3" s="27"/>
      <c r="L3" s="18"/>
      <c r="M3" s="18"/>
      <c r="N3" s="34" t="s">
        <v>57</v>
      </c>
      <c r="O3" s="34" t="s">
        <v>56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3'!D3</f>
        <v>1.6129000000000001E-2</v>
      </c>
      <c r="B4" s="14">
        <f>'Таблица 3'!D4</f>
        <v>3.2880793484400692E-2</v>
      </c>
      <c r="C4" s="15">
        <f t="shared" ref="C4:C7" si="1">(A4-$L$2)*(A4-$L$2)</f>
        <v>2.6565434027777793E-5</v>
      </c>
      <c r="D4" s="14">
        <f t="shared" ref="D4:D7" si="2">(B4-$M$2)*(B4-$M$2)</f>
        <v>4.7850069821742163E-5</v>
      </c>
      <c r="E4" s="20">
        <f t="shared" ref="E4:E7" si="3">A4-$L$2</f>
        <v>-5.154166666666668E-3</v>
      </c>
      <c r="F4" s="14">
        <f t="shared" ref="F4:F7" si="4">B4-$M$2</f>
        <v>-6.917374489048729E-3</v>
      </c>
      <c r="G4" s="17">
        <f t="shared" ref="G4:G7" si="5">E4*F4</f>
        <v>3.5653301012305331E-5</v>
      </c>
      <c r="H4" s="18">
        <f t="shared" ref="H4:H7" si="6">B4-($O$2+$N$2*A4)</f>
        <v>1.793601325697624E-3</v>
      </c>
      <c r="I4" s="14">
        <f t="shared" ref="I4:I7" si="7">H4*H4</f>
        <v>3.2170057155442741E-6</v>
      </c>
      <c r="J4" s="17">
        <f t="shared" si="0"/>
        <v>2.5908099714229012E-3</v>
      </c>
      <c r="K4" s="18"/>
      <c r="L4" s="18"/>
      <c r="M4" s="18"/>
      <c r="N4" s="18"/>
      <c r="O4" s="18"/>
      <c r="P4" s="18"/>
      <c r="Q4" s="18">
        <f>SQRT(Q2)</f>
        <v>4.4238680586930819E-2</v>
      </c>
      <c r="R4" s="18">
        <f>SQRT(R2)</f>
        <v>1.0811823075445577E-3</v>
      </c>
    </row>
    <row r="5" spans="1:18" ht="16.8" thickTop="1" thickBot="1" x14ac:dyDescent="0.35">
      <c r="A5" s="13">
        <f>'Таблица 3'!E3</f>
        <v>2.3104E-2</v>
      </c>
      <c r="B5" s="14">
        <f>'Таблица 3'!E4</f>
        <v>4.3382940667147617E-2</v>
      </c>
      <c r="C5" s="15">
        <f t="shared" si="1"/>
        <v>3.3154340277777676E-6</v>
      </c>
      <c r="D5" s="14">
        <f t="shared" si="2"/>
        <v>1.285059526548422E-5</v>
      </c>
      <c r="E5" s="20">
        <f t="shared" si="3"/>
        <v>1.8208333333333306E-3</v>
      </c>
      <c r="F5" s="14">
        <f t="shared" si="4"/>
        <v>3.5847726936981961E-3</v>
      </c>
      <c r="G5" s="17">
        <f t="shared" si="5"/>
        <v>6.5272736131087887E-6</v>
      </c>
      <c r="H5" s="18">
        <f t="shared" si="6"/>
        <v>5.0741098711441085E-4</v>
      </c>
      <c r="I5" s="14">
        <f t="shared" si="7"/>
        <v>2.5746590984442083E-7</v>
      </c>
      <c r="J5" s="17">
        <f t="shared" si="0"/>
        <v>2.9756506003565477E-3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>
        <f>'Таблица 3'!F3</f>
        <v>3.1328999999999996E-2</v>
      </c>
      <c r="B6" s="14">
        <f>'Таблица 3'!F4</f>
        <v>5.7094153616005797E-2</v>
      </c>
      <c r="C6" s="15">
        <f t="shared" si="1"/>
        <v>1.0091876736111099E-4</v>
      </c>
      <c r="D6" s="14">
        <f t="shared" si="2"/>
        <v>2.9915111934751629E-4</v>
      </c>
      <c r="E6" s="20">
        <f t="shared" si="3"/>
        <v>1.0045833333333327E-2</v>
      </c>
      <c r="F6" s="14">
        <f t="shared" si="4"/>
        <v>1.7295985642556376E-2</v>
      </c>
      <c r="G6" s="17">
        <f t="shared" si="5"/>
        <v>1.7375258910084748E-4</v>
      </c>
      <c r="H6" s="18">
        <f t="shared" si="6"/>
        <v>3.1768112408149529E-4</v>
      </c>
      <c r="I6" s="14">
        <f t="shared" si="7"/>
        <v>1.009212965976824E-7</v>
      </c>
      <c r="J6" s="17">
        <f t="shared" si="0"/>
        <v>3.5155782627188663E-3</v>
      </c>
      <c r="K6" s="18"/>
      <c r="L6" s="18"/>
      <c r="M6" s="18"/>
      <c r="N6" s="18"/>
      <c r="O6" s="18"/>
      <c r="P6" s="18"/>
      <c r="Q6" s="18">
        <f>Q4*2</f>
        <v>8.8477361173861638E-2</v>
      </c>
      <c r="R6" s="18">
        <f>R4*2</f>
        <v>2.1623646150891154E-3</v>
      </c>
    </row>
    <row r="7" spans="1:18" x14ac:dyDescent="0.3">
      <c r="A7" s="13">
        <f>'Таблица 3'!G3</f>
        <v>4.0803999999999993E-2</v>
      </c>
      <c r="B7" s="14">
        <f>'Таблица 3'!G4</f>
        <v>7.1987260449151602E-2</v>
      </c>
      <c r="C7" s="15">
        <f t="shared" si="1"/>
        <v>3.8106293402777742E-4</v>
      </c>
      <c r="D7" s="14">
        <f t="shared" si="2"/>
        <v>1.0361376744093067E-3</v>
      </c>
      <c r="E7" s="20">
        <f t="shared" si="3"/>
        <v>1.9520833333333324E-2</v>
      </c>
      <c r="F7" s="14">
        <f t="shared" si="4"/>
        <v>3.2189092475702182E-2</v>
      </c>
      <c r="G7" s="17">
        <f t="shared" si="5"/>
        <v>6.2835790936943605E-4</v>
      </c>
      <c r="H7" s="18">
        <f t="shared" si="6"/>
        <v>-8.0276014522474848E-4</v>
      </c>
      <c r="I7" s="14">
        <f t="shared" si="7"/>
        <v>6.4442385076125925E-7</v>
      </c>
      <c r="J7" s="17">
        <f t="shared" si="0"/>
        <v>4.2082755557288042E-3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Погрешности косвенные (Шаблон)</vt:lpstr>
      <vt:lpstr>МНК (Шаблон)</vt:lpstr>
      <vt:lpstr>Таблица 1</vt:lpstr>
      <vt:lpstr>Таблица 2</vt:lpstr>
      <vt:lpstr>Таблица 3</vt:lpstr>
      <vt:lpstr>График 1</vt:lpstr>
      <vt:lpstr>График 2</vt:lpstr>
      <vt:lpstr>Печать 1</vt:lpstr>
      <vt:lpstr>Печать 2</vt:lpstr>
      <vt:lpstr>Параметры установки</vt:lpstr>
      <vt:lpstr>Погрешности прямые (t)</vt:lpstr>
      <vt:lpstr>Погрешности прямые (a)</vt:lpstr>
      <vt:lpstr>Погрешности косвенные (a)</vt:lpstr>
      <vt:lpstr>Погрешности прямые (e)</vt:lpstr>
      <vt:lpstr>Погрешности косвенные (e)</vt:lpstr>
      <vt:lpstr>Погрешности прямые (M)</vt:lpstr>
      <vt:lpstr>Погрешности косвенные (M)</vt:lpstr>
      <vt:lpstr>МНК рис.1</vt:lpstr>
      <vt:lpstr>МНК рис.2</vt:lpstr>
      <vt:lpstr>МНК рис.3</vt:lpstr>
      <vt:lpstr>МНК рис.4</vt:lpstr>
      <vt:lpstr>МНК рис.5</vt:lpstr>
      <vt:lpstr>МНК рис.6</vt:lpstr>
      <vt:lpstr>МНК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Павел Караганов</cp:lastModifiedBy>
  <cp:lastPrinted>2021-10-21T21:58:13Z</cp:lastPrinted>
  <dcterms:created xsi:type="dcterms:W3CDTF">2015-06-05T18:19:34Z</dcterms:created>
  <dcterms:modified xsi:type="dcterms:W3CDTF">2025-11-04T18:55:27Z</dcterms:modified>
</cp:coreProperties>
</file>